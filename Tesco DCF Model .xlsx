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man/Library/CloudStorage/OneDrive-Personal/Fin Modelling/"/>
    </mc:Choice>
  </mc:AlternateContent>
  <xr:revisionPtr revIDLastSave="0" documentId="13_ncr:1_{F993AB6B-B9F5-C541-A809-D5E69D4502A0}" xr6:coauthVersionLast="47" xr6:coauthVersionMax="47" xr10:uidLastSave="{00000000-0000-0000-0000-000000000000}"/>
  <bookViews>
    <workbookView xWindow="0" yWindow="0" windowWidth="25600" windowHeight="16000" xr2:uid="{2EE8D253-0DB8-1C47-8E46-DB38450B13B3}"/>
  </bookViews>
  <sheets>
    <sheet name="Cover Page" sheetId="10" r:id="rId1"/>
    <sheet name="Free Cash Flow" sheetId="5" r:id="rId2"/>
    <sheet name="DCF" sheetId="8" r:id="rId3"/>
    <sheet name="WACC" sheetId="9" r:id="rId4"/>
    <sheet name="Capital Expenditures" sheetId="6" r:id="rId5"/>
    <sheet name="Net Working Capital" sheetId="7" r:id="rId6"/>
    <sheet name="Historical Data -&gt;" sheetId="1" r:id="rId7"/>
    <sheet name="Income Statements" sheetId="2" r:id="rId8"/>
    <sheet name="Balance Sheet" sheetId="3" r:id="rId9"/>
    <sheet name="Cash Flow Statement" sheetId="4" r:id="rId10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" l="1"/>
  <c r="F16" i="8" l="1"/>
  <c r="F15" i="8"/>
  <c r="F12" i="8"/>
  <c r="F13" i="8"/>
  <c r="G11" i="8"/>
  <c r="H11" i="8"/>
  <c r="K11" i="8"/>
  <c r="J11" i="8"/>
  <c r="D9" i="5"/>
  <c r="E9" i="5"/>
  <c r="F9" i="5"/>
  <c r="G9" i="5"/>
  <c r="H9" i="5"/>
  <c r="I9" i="5"/>
  <c r="J9" i="5"/>
  <c r="C9" i="5"/>
  <c r="C10" i="5"/>
  <c r="C16" i="8"/>
  <c r="C15" i="8"/>
  <c r="C11" i="8"/>
  <c r="C17" i="9" l="1"/>
  <c r="C15" i="9"/>
  <c r="C14" i="9"/>
  <c r="C11" i="9"/>
  <c r="C8" i="9" l="1"/>
  <c r="C7" i="9"/>
  <c r="C5" i="9"/>
  <c r="C3" i="9"/>
  <c r="J13" i="5"/>
  <c r="C13" i="5"/>
  <c r="C17" i="5" s="1"/>
  <c r="G13" i="5" l="1"/>
  <c r="H13" i="5"/>
  <c r="I13" i="5"/>
  <c r="F13" i="5"/>
  <c r="F14" i="5"/>
  <c r="G14" i="5"/>
  <c r="H14" i="5"/>
  <c r="I14" i="5"/>
  <c r="J14" i="5"/>
  <c r="G16" i="5"/>
  <c r="H16" i="5"/>
  <c r="I16" i="5"/>
  <c r="J16" i="5"/>
  <c r="F16" i="5"/>
  <c r="G15" i="5"/>
  <c r="H15" i="5"/>
  <c r="I15" i="5"/>
  <c r="J15" i="5"/>
  <c r="F15" i="5"/>
  <c r="G7" i="7"/>
  <c r="D18" i="7"/>
  <c r="G3" i="7" l="1"/>
  <c r="G4" i="7"/>
  <c r="D17" i="7"/>
  <c r="D16" i="7"/>
  <c r="E16" i="7"/>
  <c r="F16" i="7"/>
  <c r="H8" i="7"/>
  <c r="I8" i="7"/>
  <c r="J8" i="7"/>
  <c r="K8" i="7"/>
  <c r="G8" i="7"/>
  <c r="I20" i="7"/>
  <c r="J20" i="7"/>
  <c r="K20" i="7"/>
  <c r="H20" i="7"/>
  <c r="G20" i="7"/>
  <c r="H7" i="7"/>
  <c r="I7" i="7"/>
  <c r="J7" i="7"/>
  <c r="K7" i="7"/>
  <c r="H3" i="7"/>
  <c r="I3" i="7"/>
  <c r="J3" i="7"/>
  <c r="K3" i="7"/>
  <c r="I18" i="7"/>
  <c r="J18" i="7"/>
  <c r="K18" i="7"/>
  <c r="H18" i="7"/>
  <c r="I17" i="7"/>
  <c r="J17" i="7"/>
  <c r="K17" i="7"/>
  <c r="H17" i="7"/>
  <c r="G17" i="7"/>
  <c r="G18" i="7"/>
  <c r="G16" i="7"/>
  <c r="J16" i="7" s="1"/>
  <c r="J4" i="7" s="1"/>
  <c r="E20" i="7"/>
  <c r="F20" i="7"/>
  <c r="D20" i="7"/>
  <c r="E18" i="7"/>
  <c r="F18" i="7"/>
  <c r="E17" i="7"/>
  <c r="F17" i="7"/>
  <c r="H16" i="7" l="1"/>
  <c r="H4" i="7" s="1"/>
  <c r="K16" i="7"/>
  <c r="K4" i="7" s="1"/>
  <c r="I16" i="7"/>
  <c r="I4" i="7" s="1"/>
  <c r="G14" i="7" l="1"/>
  <c r="H14" i="7"/>
  <c r="I14" i="7"/>
  <c r="J14" i="7"/>
  <c r="K14" i="7"/>
  <c r="K13" i="7"/>
  <c r="G13" i="7"/>
  <c r="H13" i="7"/>
  <c r="I13" i="7"/>
  <c r="J13" i="7"/>
  <c r="E14" i="7"/>
  <c r="F14" i="7"/>
  <c r="D14" i="7"/>
  <c r="E13" i="7"/>
  <c r="F13" i="7"/>
  <c r="D13" i="7"/>
  <c r="G12" i="5"/>
  <c r="H12" i="5"/>
  <c r="I12" i="5"/>
  <c r="J12" i="5"/>
  <c r="F12" i="5"/>
  <c r="G11" i="5"/>
  <c r="H11" i="5"/>
  <c r="I11" i="5"/>
  <c r="J11" i="5"/>
  <c r="F11" i="5"/>
  <c r="G6" i="6"/>
  <c r="G5" i="6"/>
  <c r="H5" i="6"/>
  <c r="G4" i="6"/>
  <c r="H4" i="6"/>
  <c r="H6" i="6" s="1"/>
  <c r="I3" i="6" s="1"/>
  <c r="H3" i="6"/>
  <c r="G3" i="6"/>
  <c r="F6" i="6"/>
  <c r="F5" i="6"/>
  <c r="F4" i="6"/>
  <c r="F3" i="6"/>
  <c r="J11" i="6"/>
  <c r="I11" i="6"/>
  <c r="H11" i="6"/>
  <c r="G11" i="6"/>
  <c r="F11" i="6"/>
  <c r="D11" i="6"/>
  <c r="E11" i="6"/>
  <c r="C11" i="6"/>
  <c r="J10" i="6"/>
  <c r="I10" i="6"/>
  <c r="H10" i="6"/>
  <c r="G10" i="6"/>
  <c r="F10" i="6"/>
  <c r="D10" i="6"/>
  <c r="E10" i="6"/>
  <c r="C10" i="6"/>
  <c r="I4" i="6" l="1"/>
  <c r="I6" i="6" s="1"/>
  <c r="J3" i="6" s="1"/>
  <c r="I5" i="6"/>
  <c r="J5" i="6" l="1"/>
  <c r="J4" i="6"/>
  <c r="J6" i="6" s="1"/>
  <c r="F10" i="5"/>
  <c r="F17" i="5" s="1"/>
  <c r="F3" i="8" s="1"/>
  <c r="F6" i="8" s="1"/>
  <c r="G10" i="5"/>
  <c r="G17" i="5" s="1"/>
  <c r="G3" i="8" s="1"/>
  <c r="G6" i="8" s="1"/>
  <c r="H10" i="5"/>
  <c r="H17" i="5" s="1"/>
  <c r="H3" i="8" s="1"/>
  <c r="H6" i="8" s="1"/>
  <c r="I10" i="5"/>
  <c r="I17" i="5" s="1"/>
  <c r="I3" i="8" s="1"/>
  <c r="I6" i="8" s="1"/>
  <c r="J10" i="5"/>
  <c r="J17" i="5" s="1"/>
  <c r="J3" i="8" s="1"/>
  <c r="C12" i="8" l="1"/>
  <c r="C13" i="8" s="1"/>
  <c r="J6" i="8"/>
  <c r="C9" i="8" s="1"/>
  <c r="F8" i="5"/>
  <c r="G8" i="5"/>
  <c r="H8" i="5"/>
  <c r="I8" i="5"/>
  <c r="J8" i="5"/>
  <c r="G7" i="5"/>
  <c r="H7" i="5"/>
  <c r="I7" i="5"/>
  <c r="J7" i="5"/>
  <c r="F7" i="5"/>
  <c r="F4" i="5"/>
  <c r="J24" i="5"/>
  <c r="I24" i="5"/>
  <c r="H24" i="5"/>
  <c r="G24" i="5"/>
  <c r="F24" i="5"/>
  <c r="D24" i="5"/>
  <c r="E24" i="5"/>
  <c r="C24" i="5"/>
  <c r="C8" i="5"/>
  <c r="C5" i="5"/>
  <c r="D5" i="5"/>
  <c r="E5" i="5"/>
  <c r="F5" i="5"/>
  <c r="G5" i="5"/>
  <c r="H5" i="5"/>
  <c r="I5" i="5"/>
  <c r="J5" i="5"/>
  <c r="G4" i="5"/>
  <c r="H4" i="5"/>
  <c r="I4" i="5"/>
  <c r="J4" i="5"/>
  <c r="J23" i="5"/>
  <c r="I23" i="5"/>
  <c r="H23" i="5"/>
  <c r="G23" i="5"/>
  <c r="F23" i="5"/>
  <c r="D23" i="5"/>
  <c r="E23" i="5"/>
  <c r="C23" i="5"/>
  <c r="J3" i="5"/>
  <c r="G3" i="5"/>
  <c r="H3" i="5" s="1"/>
  <c r="I3" i="5" s="1"/>
  <c r="F3" i="5"/>
  <c r="E21" i="5"/>
  <c r="D21" i="5"/>
  <c r="C14" i="8" l="1"/>
  <c r="C18" i="8" s="1"/>
  <c r="C20" i="8" s="1"/>
  <c r="F11" i="8" s="1"/>
  <c r="D13" i="5"/>
  <c r="E13" i="5"/>
  <c r="D14" i="5"/>
  <c r="E14" i="5"/>
  <c r="C16" i="5" a="1"/>
  <c r="C16" i="5" s="1"/>
  <c r="C15" i="5" a="1"/>
  <c r="C15" i="5" s="1"/>
  <c r="D9" i="7"/>
  <c r="E9" i="7"/>
  <c r="F9" i="7"/>
  <c r="G9" i="7"/>
  <c r="H9" i="7"/>
  <c r="I9" i="7"/>
  <c r="J9" i="7"/>
  <c r="K9" i="7"/>
  <c r="C9" i="7"/>
  <c r="D8" i="7"/>
  <c r="E8" i="7"/>
  <c r="F8" i="7"/>
  <c r="C8" i="7"/>
  <c r="D7" i="7"/>
  <c r="E7" i="7"/>
  <c r="F7" i="7"/>
  <c r="C7" i="7"/>
  <c r="C4" i="7"/>
  <c r="D4" i="7"/>
  <c r="E4" i="7"/>
  <c r="F4" i="7"/>
  <c r="D3" i="7"/>
  <c r="E3" i="7"/>
  <c r="F3" i="7"/>
  <c r="F5" i="7" s="1"/>
  <c r="C3" i="7"/>
  <c r="C5" i="7" s="1"/>
  <c r="D5" i="7"/>
  <c r="E5" i="7"/>
  <c r="G5" i="7"/>
  <c r="H5" i="7"/>
  <c r="I5" i="7"/>
  <c r="J5" i="7"/>
  <c r="K5" i="7"/>
  <c r="C12" i="5" l="1"/>
  <c r="D12" i="5" l="1"/>
  <c r="E12" i="5"/>
  <c r="D5" i="6"/>
  <c r="E5" i="6"/>
  <c r="C5" i="6"/>
  <c r="D3" i="6"/>
  <c r="E3" i="6"/>
  <c r="C3" i="6"/>
  <c r="D6" i="6"/>
  <c r="E6" i="6"/>
  <c r="C6" i="6"/>
  <c r="C26" i="3"/>
  <c r="C28" i="3" s="1"/>
  <c r="C15" i="3"/>
  <c r="D4" i="6"/>
  <c r="E4" i="6"/>
  <c r="C4" i="6"/>
  <c r="D11" i="5" l="1"/>
  <c r="E11" i="5"/>
  <c r="C11" i="5"/>
  <c r="C3" i="8"/>
  <c r="D8" i="5"/>
  <c r="D7" i="5"/>
  <c r="E7" i="5"/>
  <c r="C7" i="5"/>
  <c r="D10" i="5" l="1"/>
  <c r="D17" i="5" s="1"/>
  <c r="D3" i="8" s="1"/>
  <c r="E8" i="5"/>
  <c r="E10" i="5" l="1"/>
  <c r="E17" i="5" s="1"/>
  <c r="E3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<sst xmlns="http://schemas.openxmlformats.org/spreadsheetml/2006/main" count="326" uniqueCount="227">
  <si>
    <t>Group Income Statements:</t>
  </si>
  <si>
    <t>Continuing operations</t>
  </si>
  <si>
    <t>Revenue from sale of goods and services</t>
  </si>
  <si>
    <t>Insurance revenue</t>
  </si>
  <si>
    <t>Revenue</t>
  </si>
  <si>
    <t>Net expenses from reinsurance contracts held</t>
  </si>
  <si>
    <t>Insurance service expenses</t>
  </si>
  <si>
    <t>Cost of sales</t>
  </si>
  <si>
    <t>Gross profit/(loss)</t>
  </si>
  <si>
    <t>Administrative expenses</t>
  </si>
  <si>
    <t>Operating profit/(loss)</t>
  </si>
  <si>
    <t>Share of post-tax profit/(loss) of joint ventures and associates</t>
  </si>
  <si>
    <t>Finance income</t>
  </si>
  <si>
    <t>Finance costs</t>
  </si>
  <si>
    <t>Profit/(loss) before tax from continuing operations</t>
  </si>
  <si>
    <t>Taxation</t>
  </si>
  <si>
    <t>Profit/(loss) for the year from continuing operations</t>
  </si>
  <si>
    <t>Discontinued operations</t>
  </si>
  <si>
    <t>Profit/(loss) for the year from discontinued operations</t>
  </si>
  <si>
    <t>Profit/(loss) for the year</t>
  </si>
  <si>
    <t>Attributable to:</t>
  </si>
  <si>
    <t>Owners of the parent</t>
  </si>
  <si>
    <t>Non-controlling interests</t>
  </si>
  <si>
    <t xml:space="preserve">Earnings per share from continuing and discontinued operations </t>
  </si>
  <si>
    <t>Basic</t>
  </si>
  <si>
    <t>Diluted</t>
  </si>
  <si>
    <t xml:space="preserve">Earnings per share from continuing operations </t>
  </si>
  <si>
    <t>£M</t>
  </si>
  <si>
    <t>23.79p</t>
  </si>
  <si>
    <t>23.51p</t>
  </si>
  <si>
    <t>23.41p</t>
  </si>
  <si>
    <t>32.13p</t>
  </si>
  <si>
    <t>16.74p</t>
  </si>
  <si>
    <t>16.56p</t>
  </si>
  <si>
    <t>24.80p</t>
  </si>
  <si>
    <t>24.53p</t>
  </si>
  <si>
    <t>Impairment (loss)/reversal on financial assets</t>
  </si>
  <si>
    <t>10.05p</t>
  </si>
  <si>
    <t>9.96p</t>
  </si>
  <si>
    <t>10.17p</t>
  </si>
  <si>
    <t>10.08p</t>
  </si>
  <si>
    <t>Group Balance Sheet:</t>
  </si>
  <si>
    <t>Non-current assets</t>
  </si>
  <si>
    <t>Goodwil and other intangible assets</t>
  </si>
  <si>
    <t>Property, plant and equipmennt</t>
  </si>
  <si>
    <t>Right of use assets</t>
  </si>
  <si>
    <t>Investment property</t>
  </si>
  <si>
    <t xml:space="preserve">Investments in joint ventures and associates </t>
  </si>
  <si>
    <t>Other investments</t>
  </si>
  <si>
    <t xml:space="preserve">Trade and other receivables </t>
  </si>
  <si>
    <t>Loans and advances to customers</t>
  </si>
  <si>
    <t>Reinsurance assets</t>
  </si>
  <si>
    <t>Derivative financial instruments</t>
  </si>
  <si>
    <t>Post-emolpyment benefit surplus</t>
  </si>
  <si>
    <t>Deferred tax assets</t>
  </si>
  <si>
    <t>Current assets</t>
  </si>
  <si>
    <t xml:space="preserve">Inventories </t>
  </si>
  <si>
    <t xml:space="preserve">Loans and advances to customers </t>
  </si>
  <si>
    <t xml:space="preserve">Reinsurance assets </t>
  </si>
  <si>
    <t>Current tax assets</t>
  </si>
  <si>
    <t xml:space="preserve">Short-term investments </t>
  </si>
  <si>
    <t>Cash and cash equivalents</t>
  </si>
  <si>
    <t>Assets of the disposal and non-current assets classified as held for sale</t>
  </si>
  <si>
    <t xml:space="preserve">Current liabilties </t>
  </si>
  <si>
    <t xml:space="preserve">Trade and other payables </t>
  </si>
  <si>
    <t xml:space="preserve">Borrowings </t>
  </si>
  <si>
    <t xml:space="preserve">Lease Liabilties </t>
  </si>
  <si>
    <t>Insurance Contract provisions</t>
  </si>
  <si>
    <t>Customer depositis and deposits from banks</t>
  </si>
  <si>
    <t>Current tax liabilities</t>
  </si>
  <si>
    <t>Provisions</t>
  </si>
  <si>
    <t>Net Assets</t>
  </si>
  <si>
    <t>Equity</t>
  </si>
  <si>
    <t>Share capital</t>
  </si>
  <si>
    <t>Share premium</t>
  </si>
  <si>
    <t>Other reserves</t>
  </si>
  <si>
    <t>Retained earnings</t>
  </si>
  <si>
    <t>Equity attributable to owners of the parent</t>
  </si>
  <si>
    <t>Total equity</t>
  </si>
  <si>
    <t>Liabilities of the disposal group classified as held for sale</t>
  </si>
  <si>
    <t xml:space="preserve">Net current liabilities </t>
  </si>
  <si>
    <t xml:space="preserve">Non-current liabilities </t>
  </si>
  <si>
    <t>Post-emolpyment benefit deficit</t>
  </si>
  <si>
    <t>Deferred tax liabilties</t>
  </si>
  <si>
    <t>-</t>
  </si>
  <si>
    <t>Group Cash Flow Statement:</t>
  </si>
  <si>
    <t xml:space="preserve">Cash flows generated from/(used in) operating activties </t>
  </si>
  <si>
    <t xml:space="preserve">Operating profit/(loss) of continuing operations </t>
  </si>
  <si>
    <t>Operating profit/(loss) of discontinued operations</t>
  </si>
  <si>
    <t xml:space="preserve">Depreciation and amortisation </t>
  </si>
  <si>
    <t>(Profit)/loss arising on sale of property, plant and equipment, investment property, intangible assets, assets classified as held for sale and early termination of leases</t>
  </si>
  <si>
    <t>(Profit)/loss arising from sale of other investments</t>
  </si>
  <si>
    <t>(profit)/loss arising on sale of joint ventures and associates</t>
  </si>
  <si>
    <t xml:space="preserve">(Profit)/loss arising on sale of subsidiares </t>
  </si>
  <si>
    <t>Net impairment loss on property, plant and equipment, right of use assets, intangible assets and investment property</t>
  </si>
  <si>
    <t>Net remeasurement loss on non-current assets held for sale</t>
  </si>
  <si>
    <t xml:space="preserve">Adjustment for non-cash element of pensions charge </t>
  </si>
  <si>
    <t>Other defined benefit pension scheme payments</t>
  </si>
  <si>
    <t xml:space="preserve">Share-based payments </t>
  </si>
  <si>
    <t>Retail (increase)/decrease in inventories</t>
  </si>
  <si>
    <t xml:space="preserve">Retail (increase)/decrease in trade and other receivables </t>
  </si>
  <si>
    <t>Retail increase/(decrease) in trade and other payables</t>
  </si>
  <si>
    <t>Retail increase/(decrease) in provsions</t>
  </si>
  <si>
    <t>Retail (increase)/decrease in working capital</t>
  </si>
  <si>
    <t>Tesco Bank (increase)/decrease in loans and advances to customers</t>
  </si>
  <si>
    <t>Tesco Bank (increase) /decrease in trade, reinsurance and other receivables</t>
  </si>
  <si>
    <t>Tesco Bank increase/(decrease) in customer and bank deposits, trade, insurance and other payables</t>
  </si>
  <si>
    <t xml:space="preserve">Tesco Bank increase/(decrease) in provsions </t>
  </si>
  <si>
    <t>Tesco Bank fair value movements included in operating profit/(loss)</t>
  </si>
  <si>
    <t>Tesco Bank (increase)/decrease in working capital</t>
  </si>
  <si>
    <t>Cash generated from/(used in) operations</t>
  </si>
  <si>
    <t>Interest paid</t>
  </si>
  <si>
    <t>Corporation tax paid</t>
  </si>
  <si>
    <t>Net cash generated from (used in) operating activities</t>
  </si>
  <si>
    <t>Cash flows generated from/(used in) investing activities</t>
  </si>
  <si>
    <t>Proceeds from sale of property, plant and equipment, investment property, intangible assets and assets classified as held for sale</t>
  </si>
  <si>
    <t>Purchase of property, plant and equipment, investment property and other long-term assets</t>
  </si>
  <si>
    <t>Purchase of intangible assets</t>
  </si>
  <si>
    <t>Disposal of subsidiaries, net of cash disposed</t>
  </si>
  <si>
    <t>Acquistion of subsidiries net of cash acquired</t>
  </si>
  <si>
    <t>Proceeds from sale of joint ventures and assocaites</t>
  </si>
  <si>
    <t>Increase in loans to joint ventures and associates</t>
  </si>
  <si>
    <t xml:space="preserve">Investment in joint ventures and associates </t>
  </si>
  <si>
    <t>Net (investments in)/proceeds from sale of short-term investments</t>
  </si>
  <si>
    <t>Proceeds from sale of other investments</t>
  </si>
  <si>
    <t>Purchase of other investments</t>
  </si>
  <si>
    <t>Dividends received from joint ventures and associates</t>
  </si>
  <si>
    <t xml:space="preserve">Interest received </t>
  </si>
  <si>
    <t>Cash inflows from derivative financial instruments</t>
  </si>
  <si>
    <t>Cash outflows from derivative financial instruments</t>
  </si>
  <si>
    <t>Net cash generated from/(used in) investing activties</t>
  </si>
  <si>
    <t>Own shares purchased for cancellation</t>
  </si>
  <si>
    <t>Own shared purchased for share schemes</t>
  </si>
  <si>
    <t>Repayment of capital element of obligations under leases</t>
  </si>
  <si>
    <t>Cash outflows exceeding the incremental increase in assets in a property buyback</t>
  </si>
  <si>
    <t>Increase in borrowings</t>
  </si>
  <si>
    <t>Repayment of borrowings</t>
  </si>
  <si>
    <t>Dividends paid to equity owners</t>
  </si>
  <si>
    <t xml:space="preserve">Net cash generated from/(used in) financing activities </t>
  </si>
  <si>
    <t>Net increase/(decrease) in cash and cash equivalents</t>
  </si>
  <si>
    <t>Cash and cash equivalents at the beginnig of the year</t>
  </si>
  <si>
    <t>Effect of foreign exchange rate changes</t>
  </si>
  <si>
    <t>Cash and cash equivalents at the end of the year</t>
  </si>
  <si>
    <t>Less: Cash held in the disposal group</t>
  </si>
  <si>
    <t>Impairment loss on other investments</t>
  </si>
  <si>
    <t>Disposal of banking operations, net of cash disposed</t>
  </si>
  <si>
    <t>Year</t>
  </si>
  <si>
    <t>2026E</t>
  </si>
  <si>
    <t>2027E</t>
  </si>
  <si>
    <t>2028E</t>
  </si>
  <si>
    <t>2029E</t>
  </si>
  <si>
    <t>2030E</t>
  </si>
  <si>
    <t>Unlevered Free Cash Flow</t>
  </si>
  <si>
    <t>COGS</t>
  </si>
  <si>
    <t>Gross Profit</t>
  </si>
  <si>
    <t>Operating Expenses</t>
  </si>
  <si>
    <t>Operating Profit (EBIT)</t>
  </si>
  <si>
    <t>NOPAT (Net Operating Profit After Taxes)</t>
  </si>
  <si>
    <t>(+) Depreciation &amp; Amortization</t>
  </si>
  <si>
    <t>(-) Capital Expenditures</t>
  </si>
  <si>
    <t>(-) Change in NWC</t>
  </si>
  <si>
    <t>NWC</t>
  </si>
  <si>
    <t>Current Assets</t>
  </si>
  <si>
    <t>Current Liabilitites</t>
  </si>
  <si>
    <t>Administrative Expenses</t>
  </si>
  <si>
    <t>Capital Expenditures</t>
  </si>
  <si>
    <t>Beginning PP&amp;E</t>
  </si>
  <si>
    <t>D&amp;A</t>
  </si>
  <si>
    <t>CapEx</t>
  </si>
  <si>
    <t>Ending PP&amp;E</t>
  </si>
  <si>
    <t>Net Working Capital</t>
  </si>
  <si>
    <t>Inventories</t>
  </si>
  <si>
    <t>Trade and Other Receivables</t>
  </si>
  <si>
    <t>Trade and Other Payables</t>
  </si>
  <si>
    <t>Current Liabilties</t>
  </si>
  <si>
    <t>Assumptions</t>
  </si>
  <si>
    <t>Revenue growth</t>
  </si>
  <si>
    <t>COGS % of Revenue</t>
  </si>
  <si>
    <t>Administrative % of Revenue</t>
  </si>
  <si>
    <t>D&amp;A as % of Beginning PP&amp;E</t>
  </si>
  <si>
    <t>CapEx as % of Beginning PP&amp;E</t>
  </si>
  <si>
    <t>Days Inventory Outstanding (DIO)</t>
  </si>
  <si>
    <t>Days Sales Outstanding (DSO)</t>
  </si>
  <si>
    <t>Days Payable Outstanding (DPO)</t>
  </si>
  <si>
    <t>Provisions as a % of Revenue</t>
  </si>
  <si>
    <t>Projection Year</t>
  </si>
  <si>
    <t>PV of Free Cash Flow</t>
  </si>
  <si>
    <t>Weighted Average Cost of Capital (WACC)</t>
  </si>
  <si>
    <t>Cost of Debt</t>
  </si>
  <si>
    <t>Tax</t>
  </si>
  <si>
    <t>D/(D+E)</t>
  </si>
  <si>
    <t>After Tax Cost of Debt</t>
  </si>
  <si>
    <t>Risk Free Rate</t>
  </si>
  <si>
    <t>Expected Market Return</t>
  </si>
  <si>
    <t>Market Risk Premium</t>
  </si>
  <si>
    <t>Levered Beta</t>
  </si>
  <si>
    <t>E/(D+E)</t>
  </si>
  <si>
    <t>Cost of Equity</t>
  </si>
  <si>
    <t>WACC</t>
  </si>
  <si>
    <t>Equity (£M)</t>
  </si>
  <si>
    <t>Debt (£M)</t>
  </si>
  <si>
    <t>Implied Share Price Calculation</t>
  </si>
  <si>
    <t>Sum of PV of FCF</t>
  </si>
  <si>
    <t>Growth Rate</t>
  </si>
  <si>
    <t>Terminal Value</t>
  </si>
  <si>
    <t>PV of Terminal Value</t>
  </si>
  <si>
    <t>Enterprise Value</t>
  </si>
  <si>
    <t>(+) Cash</t>
  </si>
  <si>
    <t>(-) Debt</t>
  </si>
  <si>
    <t>(-) Minority Interest</t>
  </si>
  <si>
    <t>Equity Value</t>
  </si>
  <si>
    <t>Diluted Shares Outstanding</t>
  </si>
  <si>
    <t>Implied Share Price</t>
  </si>
  <si>
    <t>* Tax Rate</t>
  </si>
  <si>
    <t>Sensitivity Table:</t>
  </si>
  <si>
    <t>Tesco plc - Discounted Cash Flow Valuation</t>
  </si>
  <si>
    <t>Prepared by Usman Khalid</t>
  </si>
  <si>
    <t>Purpose : Independent valuation model developed to strengthen financial modelling and valuation skills using publicly available financial information.</t>
  </si>
  <si>
    <t>For any questions please email usman123_@hotmail.co.uk</t>
  </si>
  <si>
    <t>Valuation Summary:</t>
  </si>
  <si>
    <t>Implied Share Price:</t>
  </si>
  <si>
    <t>Equity Value:</t>
  </si>
  <si>
    <t>Enterprise Value:</t>
  </si>
  <si>
    <t>Terminal Growth Rate:</t>
  </si>
  <si>
    <t>WACC:</t>
  </si>
  <si>
    <t>£47,432M</t>
  </si>
  <si>
    <t>£35,017M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</si>
</sst>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_);[Red]\(&quot;£&quot;#,##0.00\)"/>
    <numFmt numFmtId="164" formatCode="0.00_);\(0.00\)"/>
    <numFmt numFmtId="165" formatCode="0_);\(0\)"/>
    <numFmt numFmtId="166" formatCode="0.0"/>
    <numFmt numFmtId="167" formatCode="0.0%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"/>
      <scheme val="minor"/>
    </font>
    <font>
      <b/>
      <sz val="28"/>
      <color theme="0"/>
      <name val="Aptos Narrow"/>
      <scheme val="minor"/>
    </font>
    <font>
      <b/>
      <sz val="16"/>
      <color theme="1"/>
      <name val="Aptos Narrow"/>
      <scheme val="minor"/>
    </font>
    <font>
      <b/>
      <sz val="18"/>
      <color theme="1"/>
      <name val="Aptos Narrow"/>
      <scheme val="minor"/>
    </font>
    <font>
      <i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rgb="FFFFFF9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5" fontId="3" fillId="0" borderId="0" xfId="0" applyNumberFormat="1" applyFont="1"/>
    <xf numFmtId="17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 indent="1"/>
    </xf>
    <xf numFmtId="0" fontId="4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2" xfId="0" applyBorder="1"/>
    <xf numFmtId="0" fontId="5" fillId="0" borderId="2" xfId="0" applyFont="1" applyBorder="1"/>
    <xf numFmtId="165" fontId="0" fillId="0" borderId="2" xfId="0" applyNumberFormat="1" applyBorder="1"/>
    <xf numFmtId="0" fontId="4" fillId="0" borderId="2" xfId="0" applyFont="1" applyBorder="1"/>
    <xf numFmtId="0" fontId="6" fillId="0" borderId="3" xfId="0" applyFont="1" applyBorder="1"/>
    <xf numFmtId="0" fontId="1" fillId="0" borderId="3" xfId="0" applyFont="1" applyBorder="1"/>
    <xf numFmtId="165" fontId="1" fillId="0" borderId="3" xfId="0" applyNumberFormat="1" applyFont="1" applyBorder="1"/>
    <xf numFmtId="10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" fontId="1" fillId="0" borderId="3" xfId="0" applyNumberFormat="1" applyFont="1" applyBorder="1"/>
    <xf numFmtId="0" fontId="0" fillId="0" borderId="3" xfId="0" applyBorder="1"/>
    <xf numFmtId="167" fontId="0" fillId="0" borderId="0" xfId="0" applyNumberFormat="1"/>
    <xf numFmtId="2" fontId="0" fillId="0" borderId="3" xfId="0" applyNumberFormat="1" applyBorder="1"/>
    <xf numFmtId="2" fontId="0" fillId="0" borderId="0" xfId="0" applyNumberFormat="1"/>
    <xf numFmtId="0" fontId="0" fillId="0" borderId="0" xfId="0" applyAlignment="1">
      <alignment vertical="center" textRotation="90"/>
    </xf>
    <xf numFmtId="0" fontId="0" fillId="2" borderId="0" xfId="0" applyFill="1"/>
    <xf numFmtId="0" fontId="10" fillId="2" borderId="0" xfId="0" applyFont="1" applyFill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right"/>
    </xf>
    <xf numFmtId="0" fontId="6" fillId="4" borderId="1" xfId="0" applyFont="1" applyFill="1" applyBorder="1"/>
    <xf numFmtId="165" fontId="0" fillId="5" borderId="3" xfId="0" applyNumberFormat="1" applyFill="1" applyBorder="1"/>
    <xf numFmtId="0" fontId="0" fillId="6" borderId="0" xfId="0" applyFill="1"/>
    <xf numFmtId="10" fontId="0" fillId="6" borderId="0" xfId="0" applyNumberFormat="1" applyFill="1"/>
    <xf numFmtId="1" fontId="0" fillId="6" borderId="0" xfId="0" applyNumberFormat="1" applyFill="1"/>
    <xf numFmtId="165" fontId="0" fillId="6" borderId="0" xfId="0" applyNumberFormat="1" applyFill="1"/>
    <xf numFmtId="166" fontId="0" fillId="6" borderId="0" xfId="0" applyNumberFormat="1" applyFill="1"/>
    <xf numFmtId="167" fontId="0" fillId="6" borderId="0" xfId="1" applyNumberFormat="1" applyFont="1" applyFill="1"/>
    <xf numFmtId="0" fontId="9" fillId="2" borderId="0" xfId="0" applyFont="1" applyFill="1"/>
    <xf numFmtId="2" fontId="1" fillId="0" borderId="3" xfId="0" applyNumberFormat="1" applyFont="1" applyBorder="1"/>
    <xf numFmtId="0" fontId="9" fillId="2" borderId="2" xfId="0" applyFont="1" applyFill="1" applyBorder="1"/>
    <xf numFmtId="2" fontId="9" fillId="2" borderId="0" xfId="0" applyNumberFormat="1" applyFont="1" applyFill="1"/>
    <xf numFmtId="167" fontId="0" fillId="3" borderId="0" xfId="0" applyNumberFormat="1" applyFill="1"/>
    <xf numFmtId="167" fontId="0" fillId="3" borderId="0" xfId="1" applyNumberFormat="1" applyFont="1" applyFill="1" applyAlignment="1">
      <alignment horizontal="right"/>
    </xf>
    <xf numFmtId="167" fontId="0" fillId="3" borderId="0" xfId="1" applyNumberFormat="1" applyFont="1" applyFill="1"/>
    <xf numFmtId="2" fontId="0" fillId="3" borderId="0" xfId="0" applyNumberFormat="1" applyFill="1"/>
    <xf numFmtId="0" fontId="1" fillId="5" borderId="3" xfId="0" applyFont="1" applyFill="1" applyBorder="1"/>
    <xf numFmtId="2" fontId="1" fillId="5" borderId="3" xfId="0" applyNumberFormat="1" applyFont="1" applyFill="1" applyBorder="1"/>
    <xf numFmtId="167" fontId="1" fillId="0" borderId="3" xfId="1" applyNumberFormat="1" applyFont="1" applyBorder="1"/>
    <xf numFmtId="167" fontId="1" fillId="0" borderId="3" xfId="0" applyNumberFormat="1" applyFont="1" applyBorder="1"/>
    <xf numFmtId="167" fontId="1" fillId="5" borderId="3" xfId="0" applyNumberFormat="1" applyFont="1" applyFill="1" applyBorder="1"/>
    <xf numFmtId="165" fontId="8" fillId="0" borderId="3" xfId="0" applyNumberFormat="1" applyFont="1" applyBorder="1"/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textRotation="90"/>
    </xf>
    <xf numFmtId="0" fontId="11" fillId="2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60CCC-3267-FC42-9755-824B72EB4A44}">
  <dimension ref="B2:P24"/>
  <sheetViews>
    <sheetView showGridLines="0" tabSelected="1" workbookViewId="0">
      <selection activeCell="H19" sqref="H19"/>
    </sheetView>
  </sheetViews>
  <sheetFormatPr baseColWidth="10" defaultRowHeight="16" x14ac:dyDescent="0.2"/>
  <sheetData>
    <row r="2" spans="2:16" ht="16" customHeight="1" x14ac:dyDescent="0.2">
      <c r="B2" s="62" t="s">
        <v>215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</row>
    <row r="3" spans="2:16" ht="16" customHeight="1" x14ac:dyDescent="0.2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</row>
    <row r="4" spans="2:16" ht="16" customHeight="1" x14ac:dyDescent="0.2"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</row>
    <row r="5" spans="2:16" ht="16" customHeight="1" x14ac:dyDescent="0.2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</row>
    <row r="7" spans="2:16" ht="24" customHeight="1" x14ac:dyDescent="0.2">
      <c r="B7" s="63" t="s">
        <v>216</v>
      </c>
      <c r="C7" s="63"/>
      <c r="D7" s="63"/>
      <c r="E7" s="63"/>
    </row>
    <row r="8" spans="2:16" x14ac:dyDescent="0.2">
      <c r="B8" s="63"/>
      <c r="C8" s="63"/>
      <c r="D8" s="63"/>
      <c r="E8" s="63"/>
    </row>
    <row r="9" spans="2:16" x14ac:dyDescent="0.2">
      <c r="B9" s="63"/>
      <c r="C9" s="63"/>
      <c r="D9" s="63"/>
      <c r="E9" s="63"/>
    </row>
    <row r="11" spans="2:16" ht="16" customHeight="1" x14ac:dyDescent="0.2">
      <c r="B11" s="64" t="s">
        <v>217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</row>
    <row r="12" spans="2:16" ht="16" customHeight="1" x14ac:dyDescent="0.2"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</row>
    <row r="13" spans="2:16" ht="16" customHeight="1" x14ac:dyDescent="0.2"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2:16" ht="16" customHeight="1" x14ac:dyDescent="0.2"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2:16" ht="16" customHeight="1" x14ac:dyDescent="0.2"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</row>
    <row r="17" spans="2:6" x14ac:dyDescent="0.2">
      <c r="B17" s="65" t="s">
        <v>218</v>
      </c>
      <c r="C17" s="65"/>
      <c r="D17" s="65"/>
      <c r="E17" s="65"/>
      <c r="F17" s="65"/>
    </row>
    <row r="19" spans="2:6" ht="22" x14ac:dyDescent="0.3">
      <c r="B19" s="66" t="s">
        <v>219</v>
      </c>
      <c r="C19" s="66"/>
      <c r="D19" s="66"/>
    </row>
    <row r="20" spans="2:6" x14ac:dyDescent="0.2">
      <c r="B20" s="67" t="s">
        <v>222</v>
      </c>
      <c r="C20" s="67"/>
      <c r="D20" s="68" t="s">
        <v>225</v>
      </c>
    </row>
    <row r="21" spans="2:6" x14ac:dyDescent="0.2">
      <c r="B21" s="67" t="s">
        <v>221</v>
      </c>
      <c r="C21" s="67"/>
      <c r="D21" s="68" t="s">
        <v>226</v>
      </c>
    </row>
    <row r="22" spans="2:6" x14ac:dyDescent="0.2">
      <c r="B22" s="67" t="s">
        <v>220</v>
      </c>
      <c r="C22" s="67"/>
      <c r="D22" s="69">
        <v>5.2</v>
      </c>
    </row>
    <row r="23" spans="2:6" x14ac:dyDescent="0.2">
      <c r="B23" s="67" t="s">
        <v>224</v>
      </c>
      <c r="C23" s="67"/>
      <c r="D23" s="70">
        <v>6.6000000000000003E-2</v>
      </c>
    </row>
    <row r="24" spans="2:6" x14ac:dyDescent="0.2">
      <c r="B24" s="67" t="s">
        <v>223</v>
      </c>
      <c r="C24" s="67"/>
      <c r="D24" s="70">
        <v>0.02</v>
      </c>
    </row>
  </sheetData>
  <mergeCells count="10">
    <mergeCell ref="B20:C20"/>
    <mergeCell ref="B21:C21"/>
    <mergeCell ref="B22:C22"/>
    <mergeCell ref="B23:C23"/>
    <mergeCell ref="B24:C24"/>
    <mergeCell ref="B11:P15"/>
    <mergeCell ref="B17:F17"/>
    <mergeCell ref="B19:D19"/>
    <mergeCell ref="B2:P5"/>
    <mergeCell ref="B7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F315-8959-AB4D-BC31-4229976D9072}">
  <dimension ref="A1:J25"/>
  <sheetViews>
    <sheetView zoomScale="117" workbookViewId="0">
      <selection activeCell="A8" sqref="A8"/>
    </sheetView>
  </sheetViews>
  <sheetFormatPr baseColWidth="10" defaultRowHeight="16" x14ac:dyDescent="0.2"/>
  <cols>
    <col min="1" max="1" width="22.6640625" customWidth="1"/>
    <col min="2" max="2" width="33.5" customWidth="1"/>
  </cols>
  <sheetData>
    <row r="1" spans="1:10" x14ac:dyDescent="0.2">
      <c r="A1" s="59" t="s">
        <v>152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x14ac:dyDescent="0.2">
      <c r="B2" s="35" t="s">
        <v>146</v>
      </c>
      <c r="C2" s="35">
        <v>2023</v>
      </c>
      <c r="D2" s="35">
        <v>2024</v>
      </c>
      <c r="E2" s="35">
        <v>2025</v>
      </c>
      <c r="F2" s="36" t="s">
        <v>147</v>
      </c>
      <c r="G2" s="36" t="s">
        <v>148</v>
      </c>
      <c r="H2" s="36" t="s">
        <v>149</v>
      </c>
      <c r="I2" s="36" t="s">
        <v>150</v>
      </c>
      <c r="J2" s="36" t="s">
        <v>151</v>
      </c>
    </row>
    <row r="3" spans="1:10" x14ac:dyDescent="0.2">
      <c r="B3" s="13" t="s">
        <v>4</v>
      </c>
      <c r="C3" s="5">
        <v>65762</v>
      </c>
      <c r="D3" s="5">
        <v>68187</v>
      </c>
      <c r="E3" s="5">
        <v>69916</v>
      </c>
      <c r="F3" s="3">
        <f>E3*(1+F21)</f>
        <v>71663.899999999994</v>
      </c>
      <c r="G3" s="3">
        <f t="shared" ref="G3:I3" si="0">F3*(1+G21)</f>
        <v>73312.169699999984</v>
      </c>
      <c r="H3" s="3">
        <f t="shared" si="0"/>
        <v>74851.725263699976</v>
      </c>
      <c r="I3" s="3">
        <f t="shared" si="0"/>
        <v>76348.759768973978</v>
      </c>
      <c r="J3" s="3">
        <f>I3*(1+J21)</f>
        <v>77875.734964353454</v>
      </c>
    </row>
    <row r="4" spans="1:10" x14ac:dyDescent="0.2">
      <c r="B4" s="17" t="s">
        <v>153</v>
      </c>
      <c r="C4" s="18">
        <v>-62034</v>
      </c>
      <c r="D4" s="18">
        <v>-62836</v>
      </c>
      <c r="E4" s="18">
        <v>-64205</v>
      </c>
      <c r="F4" s="18">
        <f>F3*F23</f>
        <v>-66483.833188630379</v>
      </c>
      <c r="G4" s="18">
        <f t="shared" ref="G4:J4" si="1">G3*G23</f>
        <v>-68012.961351968872</v>
      </c>
      <c r="H4" s="18">
        <f t="shared" si="1"/>
        <v>-69441.233540360219</v>
      </c>
      <c r="I4" s="18">
        <f t="shared" si="1"/>
        <v>-70830.058211167416</v>
      </c>
      <c r="J4" s="18">
        <f t="shared" si="1"/>
        <v>-72246.659375390765</v>
      </c>
    </row>
    <row r="5" spans="1:10" x14ac:dyDescent="0.2">
      <c r="B5" s="14" t="s">
        <v>154</v>
      </c>
      <c r="C5" s="4">
        <f>SUM(C3:C4)</f>
        <v>3728</v>
      </c>
      <c r="D5" s="4">
        <f>SUM(D3:D4)</f>
        <v>5351</v>
      </c>
      <c r="E5" s="4">
        <f>SUM(E3:E4)</f>
        <v>5711</v>
      </c>
      <c r="F5" s="4">
        <f t="shared" ref="F5:J5" si="2">SUM(F3:F4)</f>
        <v>5180.0668113696156</v>
      </c>
      <c r="G5" s="4">
        <f t="shared" si="2"/>
        <v>5299.2083480311121</v>
      </c>
      <c r="H5" s="4">
        <f t="shared" si="2"/>
        <v>5410.4917233397573</v>
      </c>
      <c r="I5" s="4">
        <f t="shared" si="2"/>
        <v>5518.7015578065621</v>
      </c>
      <c r="J5" s="4">
        <f t="shared" si="2"/>
        <v>5629.0755889626889</v>
      </c>
    </row>
    <row r="6" spans="1:10" x14ac:dyDescent="0.2">
      <c r="B6" s="13" t="s">
        <v>155</v>
      </c>
      <c r="C6" s="3"/>
      <c r="D6" s="3"/>
      <c r="E6" s="3"/>
      <c r="F6" s="3"/>
      <c r="G6" s="3"/>
      <c r="H6" s="3"/>
      <c r="I6" s="3"/>
      <c r="J6" s="3"/>
    </row>
    <row r="7" spans="1:10" x14ac:dyDescent="0.2">
      <c r="B7" s="19" t="s">
        <v>164</v>
      </c>
      <c r="C7" s="18">
        <f>'Income Statements'!C12</f>
        <v>-2136</v>
      </c>
      <c r="D7" s="18">
        <f>'Income Statements'!D12</f>
        <v>-2028</v>
      </c>
      <c r="E7" s="18">
        <f>'Income Statements'!E12</f>
        <v>-2340</v>
      </c>
      <c r="F7" s="18">
        <f>F3*F24</f>
        <v>-2285.8690917896283</v>
      </c>
      <c r="G7" s="18">
        <f t="shared" ref="G7:J7" si="3">G3*G24</f>
        <v>-2338.4440809007897</v>
      </c>
      <c r="H7" s="18">
        <f t="shared" si="3"/>
        <v>-2387.5514065997058</v>
      </c>
      <c r="I7" s="18">
        <f t="shared" si="3"/>
        <v>-2435.3024347317</v>
      </c>
      <c r="J7" s="18">
        <f t="shared" si="3"/>
        <v>-2484.0084834263339</v>
      </c>
    </row>
    <row r="8" spans="1:10" x14ac:dyDescent="0.2">
      <c r="B8" s="14" t="s">
        <v>156</v>
      </c>
      <c r="C8" s="4">
        <f>SUM(C5:C7)</f>
        <v>1592</v>
      </c>
      <c r="D8" s="4">
        <f t="shared" ref="D8:J8" si="4">SUM(D5:D7)</f>
        <v>3323</v>
      </c>
      <c r="E8" s="4">
        <f t="shared" si="4"/>
        <v>3371</v>
      </c>
      <c r="F8" s="4">
        <f t="shared" si="4"/>
        <v>2894.1977195799873</v>
      </c>
      <c r="G8" s="4">
        <f t="shared" si="4"/>
        <v>2960.7642671303224</v>
      </c>
      <c r="H8" s="4">
        <f t="shared" si="4"/>
        <v>3022.9403167400515</v>
      </c>
      <c r="I8" s="4">
        <f t="shared" si="4"/>
        <v>3083.399123074862</v>
      </c>
      <c r="J8" s="4">
        <f t="shared" si="4"/>
        <v>3145.067105536355</v>
      </c>
    </row>
    <row r="9" spans="1:10" x14ac:dyDescent="0.2">
      <c r="B9" s="17" t="s">
        <v>213</v>
      </c>
      <c r="C9" s="18">
        <f>(0.269)*C8</f>
        <v>428.24800000000005</v>
      </c>
      <c r="D9" s="18">
        <f t="shared" ref="D9:J9" si="5">(0.269)*D8</f>
        <v>893.88700000000006</v>
      </c>
      <c r="E9" s="18">
        <f t="shared" si="5"/>
        <v>906.79900000000009</v>
      </c>
      <c r="F9" s="18">
        <f t="shared" si="5"/>
        <v>778.5391865670166</v>
      </c>
      <c r="G9" s="18">
        <f t="shared" si="5"/>
        <v>796.4455878580568</v>
      </c>
      <c r="H9" s="18">
        <f t="shared" si="5"/>
        <v>813.17094520307387</v>
      </c>
      <c r="I9" s="18">
        <f t="shared" si="5"/>
        <v>829.43436410713798</v>
      </c>
      <c r="J9" s="18">
        <f t="shared" si="5"/>
        <v>846.02305138927954</v>
      </c>
    </row>
    <row r="10" spans="1:10" x14ac:dyDescent="0.2">
      <c r="B10" s="14" t="s">
        <v>157</v>
      </c>
      <c r="C10" s="4">
        <f>C8-C9</f>
        <v>1163.752</v>
      </c>
      <c r="D10" s="4">
        <f t="shared" ref="D10:J10" si="6">D8-D9</f>
        <v>2429.1129999999998</v>
      </c>
      <c r="E10" s="4">
        <f t="shared" si="6"/>
        <v>2464.201</v>
      </c>
      <c r="F10" s="4">
        <f t="shared" si="6"/>
        <v>2115.6585330129706</v>
      </c>
      <c r="G10" s="4">
        <f t="shared" si="6"/>
        <v>2164.3186792722654</v>
      </c>
      <c r="H10" s="4">
        <f t="shared" si="6"/>
        <v>2209.7693715369778</v>
      </c>
      <c r="I10" s="4">
        <f t="shared" si="6"/>
        <v>2253.9647589677243</v>
      </c>
      <c r="J10" s="4">
        <f t="shared" si="6"/>
        <v>2299.0440541470753</v>
      </c>
    </row>
    <row r="11" spans="1:10" x14ac:dyDescent="0.2">
      <c r="B11" s="13" t="s">
        <v>158</v>
      </c>
      <c r="C11" s="3">
        <f>'Cash Flow Statement'!C5</f>
        <v>1700</v>
      </c>
      <c r="D11" s="3">
        <f>'Cash Flow Statement'!D5</f>
        <v>1723</v>
      </c>
      <c r="E11" s="3">
        <f>'Cash Flow Statement'!E5</f>
        <v>1775</v>
      </c>
      <c r="F11" s="3">
        <f>'Capital Expenditures'!F4</f>
        <v>1754.4092901654499</v>
      </c>
      <c r="G11" s="3">
        <f>'Capital Expenditures'!G4</f>
        <v>1761.46505275502</v>
      </c>
      <c r="H11" s="3">
        <f>'Capital Expenditures'!H4</f>
        <v>1768.5491917251754</v>
      </c>
      <c r="I11" s="3">
        <f>'Capital Expenditures'!I4</f>
        <v>1775.661821198092</v>
      </c>
      <c r="J11" s="3">
        <f>'Capital Expenditures'!J4</f>
        <v>1782.803055754913</v>
      </c>
    </row>
    <row r="12" spans="1:10" x14ac:dyDescent="0.2">
      <c r="B12" s="13" t="s">
        <v>159</v>
      </c>
      <c r="C12" s="3">
        <f>'Capital Expenditures'!C5</f>
        <v>1502</v>
      </c>
      <c r="D12" s="3">
        <f>'Capital Expenditures'!D5</f>
        <v>2082</v>
      </c>
      <c r="E12" s="3">
        <f>'Capital Expenditures'!E5</f>
        <v>1816</v>
      </c>
      <c r="F12" s="3">
        <f>'Capital Expenditures'!F5</f>
        <v>1823.8324142357021</v>
      </c>
      <c r="G12" s="3">
        <f>'Capital Expenditures'!G5</f>
        <v>1831.1673779697328</v>
      </c>
      <c r="H12" s="3">
        <f>'Capital Expenditures'!H5</f>
        <v>1838.5318409563038</v>
      </c>
      <c r="I12" s="3">
        <f>'Capital Expenditures'!I5</f>
        <v>1845.9259218334803</v>
      </c>
      <c r="J12" s="3">
        <f>'Capital Expenditures'!J5</f>
        <v>1853.3497397164567</v>
      </c>
    </row>
    <row r="13" spans="1:10" x14ac:dyDescent="0.2">
      <c r="B13" s="13" t="s">
        <v>160</v>
      </c>
      <c r="C13" s="3">
        <f>C14-('Net Working Capital'!C5+'Net Working Capital'!C9)</f>
        <v>-497</v>
      </c>
      <c r="D13" s="3">
        <f>D14-('Net Working Capital'!D5+'Net Working Capital'!D9)</f>
        <v>-227</v>
      </c>
      <c r="E13" s="3">
        <f>E14-('Net Working Capital'!E5+'Net Working Capital'!E9)</f>
        <v>-100</v>
      </c>
      <c r="F13" s="3">
        <f>F14-('Net Working Capital'!F5+'Net Working Capital'!F9)</f>
        <v>-216.20323238978381</v>
      </c>
      <c r="G13" s="3">
        <f>G14-('Net Working Capital'!G5+'Net Working Capital'!G9)</f>
        <v>-158.75067434496668</v>
      </c>
      <c r="H13" s="3">
        <f>H14-('Net Working Capital'!H5+'Net Working Capital'!H9)</f>
        <v>-148.28003204142806</v>
      </c>
      <c r="I13" s="3">
        <f>I14-('Net Working Capital'!I5+'Net Working Capital'!I9)</f>
        <v>-144.18467877552212</v>
      </c>
      <c r="J13" s="3">
        <f>J14-('Net Working Capital'!J5+'Net Working Capital'!J9)</f>
        <v>-147.06837235103467</v>
      </c>
    </row>
    <row r="14" spans="1:10" x14ac:dyDescent="0.2">
      <c r="B14" s="15" t="s">
        <v>161</v>
      </c>
      <c r="C14" s="3">
        <f>SUM(C15:C16)</f>
        <v>-6359</v>
      </c>
      <c r="D14" s="3">
        <f t="shared" ref="D14:J14" si="7">SUM(D15:D16)</f>
        <v>-6586</v>
      </c>
      <c r="E14" s="3">
        <f t="shared" si="7"/>
        <v>-6686</v>
      </c>
      <c r="F14" s="3">
        <f t="shared" si="7"/>
        <v>-6902.2032323897838</v>
      </c>
      <c r="G14" s="3">
        <f t="shared" si="7"/>
        <v>-7060.9539067347505</v>
      </c>
      <c r="H14" s="3">
        <f t="shared" si="7"/>
        <v>-7209.2339387761785</v>
      </c>
      <c r="I14" s="3">
        <f t="shared" si="7"/>
        <v>-7353.4186175517007</v>
      </c>
      <c r="J14" s="3">
        <f t="shared" si="7"/>
        <v>-7500.4869899027353</v>
      </c>
    </row>
    <row r="15" spans="1:10" x14ac:dyDescent="0.2">
      <c r="B15" s="15" t="s">
        <v>162</v>
      </c>
      <c r="C15" s="3" cm="1">
        <f t="array" ref="C15:E15">'Net Working Capital'!D5:F5</f>
        <v>3825</v>
      </c>
      <c r="D15" s="3">
        <v>3984</v>
      </c>
      <c r="E15" s="3">
        <v>3978</v>
      </c>
      <c r="F15" s="3">
        <f>'Net Working Capital'!G5</f>
        <v>4145.1052397525</v>
      </c>
      <c r="G15" s="3">
        <f>'Net Working Capital'!H5</f>
        <v>4240.4426602668063</v>
      </c>
      <c r="H15" s="3">
        <f>'Net Working Capital'!I5</f>
        <v>4329.4919561324095</v>
      </c>
      <c r="I15" s="3">
        <f>'Net Working Capital'!J5</f>
        <v>4416.0817952550569</v>
      </c>
      <c r="J15" s="3">
        <f>'Net Working Capital'!K5</f>
        <v>4504.4034311601581</v>
      </c>
    </row>
    <row r="16" spans="1:10" x14ac:dyDescent="0.2">
      <c r="B16" s="15" t="s">
        <v>163</v>
      </c>
      <c r="C16" s="3" cm="1">
        <f t="array" ref="C16:E16">'Net Working Capital'!D9:F9</f>
        <v>-10184</v>
      </c>
      <c r="D16" s="3">
        <v>-10570</v>
      </c>
      <c r="E16" s="3">
        <v>-10664</v>
      </c>
      <c r="F16" s="3">
        <f>'Net Working Capital'!G9</f>
        <v>-11047.308472142284</v>
      </c>
      <c r="G16" s="3">
        <f>'Net Working Capital'!H9</f>
        <v>-11301.396567001557</v>
      </c>
      <c r="H16" s="3">
        <f>'Net Working Capital'!I9</f>
        <v>-11538.725894908588</v>
      </c>
      <c r="I16" s="3">
        <f>'Net Working Capital'!J9</f>
        <v>-11769.500412806758</v>
      </c>
      <c r="J16" s="3">
        <f>'Net Working Capital'!K9</f>
        <v>-12004.890421062893</v>
      </c>
    </row>
    <row r="17" spans="1:10" x14ac:dyDescent="0.2">
      <c r="B17" s="37" t="s">
        <v>152</v>
      </c>
      <c r="C17" s="38">
        <f>C10+C11-C12-C13</f>
        <v>1858.752</v>
      </c>
      <c r="D17" s="38">
        <f t="shared" ref="D17:J17" si="8">D10+D11-D12-D13</f>
        <v>2297.1129999999994</v>
      </c>
      <c r="E17" s="38">
        <f t="shared" si="8"/>
        <v>2523.201</v>
      </c>
      <c r="F17" s="38">
        <f t="shared" si="8"/>
        <v>2262.4386413325019</v>
      </c>
      <c r="G17" s="38">
        <f t="shared" si="8"/>
        <v>2253.3670284025193</v>
      </c>
      <c r="H17" s="38">
        <f t="shared" si="8"/>
        <v>2288.0667543472778</v>
      </c>
      <c r="I17" s="38">
        <f t="shared" si="8"/>
        <v>2327.8853371078585</v>
      </c>
      <c r="J17" s="38">
        <f t="shared" si="8"/>
        <v>2375.5657425365662</v>
      </c>
    </row>
    <row r="19" spans="1:10" x14ac:dyDescent="0.2">
      <c r="A19" s="34" t="s">
        <v>175</v>
      </c>
      <c r="B19" s="33"/>
      <c r="C19" s="33"/>
      <c r="D19" s="33"/>
      <c r="E19" s="33"/>
      <c r="F19" s="33"/>
      <c r="G19" s="33"/>
      <c r="H19" s="33"/>
      <c r="I19" s="33"/>
      <c r="J19" s="33"/>
    </row>
    <row r="20" spans="1:10" x14ac:dyDescent="0.2">
      <c r="B20" s="35" t="s">
        <v>146</v>
      </c>
      <c r="C20" s="35">
        <v>2023</v>
      </c>
      <c r="D20" s="35">
        <v>2024</v>
      </c>
      <c r="E20" s="35">
        <v>2025</v>
      </c>
      <c r="F20" s="36" t="s">
        <v>147</v>
      </c>
      <c r="G20" s="36" t="s">
        <v>148</v>
      </c>
      <c r="H20" s="36" t="s">
        <v>149</v>
      </c>
      <c r="I20" s="36" t="s">
        <v>150</v>
      </c>
      <c r="J20" s="36" t="s">
        <v>151</v>
      </c>
    </row>
    <row r="21" spans="1:10" x14ac:dyDescent="0.2">
      <c r="B21" s="39" t="s">
        <v>176</v>
      </c>
      <c r="C21" s="40"/>
      <c r="D21" s="40">
        <f>(D3/C3)-1</f>
        <v>3.6875399166691913E-2</v>
      </c>
      <c r="E21" s="40">
        <f>(E3/D3)-1</f>
        <v>2.5356739554460495E-2</v>
      </c>
      <c r="F21" s="40">
        <v>2.5000000000000001E-2</v>
      </c>
      <c r="G21" s="40">
        <v>2.3E-2</v>
      </c>
      <c r="H21" s="40">
        <v>2.1000000000000001E-2</v>
      </c>
      <c r="I21" s="40">
        <v>0.02</v>
      </c>
      <c r="J21" s="40">
        <v>0.02</v>
      </c>
    </row>
    <row r="22" spans="1:10" x14ac:dyDescent="0.2">
      <c r="B22" s="39"/>
      <c r="C22" s="40"/>
      <c r="D22" s="40"/>
      <c r="E22" s="40"/>
      <c r="F22" s="40"/>
      <c r="G22" s="40"/>
      <c r="H22" s="40"/>
      <c r="I22" s="40"/>
      <c r="J22" s="40"/>
    </row>
    <row r="23" spans="1:10" x14ac:dyDescent="0.2">
      <c r="B23" s="39" t="s">
        <v>177</v>
      </c>
      <c r="C23" s="40">
        <f>C4/C3</f>
        <v>-0.94331072655941117</v>
      </c>
      <c r="D23" s="40">
        <f t="shared" ref="D23:E23" si="9">D4/D3</f>
        <v>-0.92152463079472624</v>
      </c>
      <c r="E23" s="40">
        <f t="shared" si="9"/>
        <v>-0.91831626523256482</v>
      </c>
      <c r="F23" s="40">
        <f>AVERAGE(C23:E23)</f>
        <v>-0.92771720752890074</v>
      </c>
      <c r="G23" s="40">
        <f>F23</f>
        <v>-0.92771720752890074</v>
      </c>
      <c r="H23" s="40">
        <f>F23</f>
        <v>-0.92771720752890074</v>
      </c>
      <c r="I23" s="40">
        <f>F23</f>
        <v>-0.92771720752890074</v>
      </c>
      <c r="J23" s="40">
        <f>F23</f>
        <v>-0.92771720752890074</v>
      </c>
    </row>
    <row r="24" spans="1:10" x14ac:dyDescent="0.2">
      <c r="B24" s="39" t="s">
        <v>178</v>
      </c>
      <c r="C24" s="40">
        <f>C7/C3</f>
        <v>-3.248076396703263E-2</v>
      </c>
      <c r="D24" s="40">
        <f t="shared" ref="D24:E24" si="10">D7/D3</f>
        <v>-2.974173962778829E-2</v>
      </c>
      <c r="E24" s="40">
        <f t="shared" si="10"/>
        <v>-3.3468733909262541E-2</v>
      </c>
      <c r="F24" s="40">
        <f>AVERAGE(C24:E24)</f>
        <v>-3.1897079168027816E-2</v>
      </c>
      <c r="G24" s="40">
        <f>F24</f>
        <v>-3.1897079168027816E-2</v>
      </c>
      <c r="H24" s="40">
        <f>F24</f>
        <v>-3.1897079168027816E-2</v>
      </c>
      <c r="I24" s="40">
        <f>F24</f>
        <v>-3.1897079168027816E-2</v>
      </c>
      <c r="J24" s="40">
        <f>F24</f>
        <v>-3.1897079168027816E-2</v>
      </c>
    </row>
    <row r="25" spans="1:10" x14ac:dyDescent="0.2">
      <c r="C25" s="23"/>
      <c r="D25" s="23"/>
      <c r="E25" s="23"/>
      <c r="F25" s="23"/>
      <c r="G25" s="23"/>
      <c r="H25" s="23"/>
      <c r="I25" s="23"/>
      <c r="J25" s="23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AF2C-6AD6-094D-9C79-F7B41510E3C4}">
  <dimension ref="A1:K20"/>
  <sheetViews>
    <sheetView workbookViewId="0">
      <selection activeCell="C18" sqref="C18"/>
    </sheetView>
  </sheetViews>
  <sheetFormatPr baseColWidth="10" defaultRowHeight="16" x14ac:dyDescent="0.2"/>
  <cols>
    <col min="1" max="1" width="22.5" customWidth="1"/>
    <col min="2" max="2" width="27" bestFit="1" customWidth="1"/>
    <col min="3" max="3" width="16.5" customWidth="1"/>
    <col min="6" max="6" width="13.6640625" customWidth="1"/>
    <col min="7" max="7" width="11.6640625" bestFit="1" customWidth="1"/>
    <col min="8" max="8" width="12.6640625" bestFit="1" customWidth="1"/>
    <col min="9" max="9" width="13.6640625" bestFit="1" customWidth="1"/>
    <col min="10" max="10" width="14.6640625" bestFit="1" customWidth="1"/>
  </cols>
  <sheetData>
    <row r="1" spans="1:11" x14ac:dyDescent="0.2">
      <c r="A1" s="60" t="s">
        <v>152</v>
      </c>
      <c r="B1" s="60"/>
      <c r="C1" s="60"/>
      <c r="D1" s="60"/>
      <c r="E1" s="60"/>
      <c r="F1" s="60"/>
      <c r="G1" s="60"/>
      <c r="H1" s="60"/>
      <c r="I1" s="60"/>
      <c r="J1" s="60"/>
    </row>
    <row r="2" spans="1:11" x14ac:dyDescent="0.2">
      <c r="B2" s="35" t="s">
        <v>146</v>
      </c>
      <c r="C2" s="35">
        <v>2023</v>
      </c>
      <c r="D2" s="35">
        <v>2024</v>
      </c>
      <c r="E2" s="35">
        <v>2025</v>
      </c>
      <c r="F2" s="36" t="s">
        <v>147</v>
      </c>
      <c r="G2" s="36" t="s">
        <v>148</v>
      </c>
      <c r="H2" s="36" t="s">
        <v>149</v>
      </c>
      <c r="I2" s="36" t="s">
        <v>150</v>
      </c>
      <c r="J2" s="36" t="s">
        <v>151</v>
      </c>
    </row>
    <row r="3" spans="1:11" x14ac:dyDescent="0.2">
      <c r="B3" t="s">
        <v>152</v>
      </c>
      <c r="C3" s="24">
        <f>'Free Cash Flow'!C17</f>
        <v>1858.752</v>
      </c>
      <c r="D3" s="24">
        <f>'Free Cash Flow'!D17</f>
        <v>2297.1129999999994</v>
      </c>
      <c r="E3" s="24">
        <f>'Free Cash Flow'!E17</f>
        <v>2523.201</v>
      </c>
      <c r="F3" s="24">
        <f>'Free Cash Flow'!F17</f>
        <v>2262.4386413325019</v>
      </c>
      <c r="G3" s="24">
        <f>'Free Cash Flow'!G17</f>
        <v>2253.3670284025193</v>
      </c>
      <c r="H3" s="24">
        <f>'Free Cash Flow'!H17</f>
        <v>2288.0667543472778</v>
      </c>
      <c r="I3" s="24">
        <f>'Free Cash Flow'!I17</f>
        <v>2327.8853371078585</v>
      </c>
      <c r="J3" s="24">
        <f>'Free Cash Flow'!J17</f>
        <v>2375.5657425365662</v>
      </c>
    </row>
    <row r="5" spans="1:11" x14ac:dyDescent="0.2">
      <c r="B5" t="s">
        <v>185</v>
      </c>
      <c r="F5">
        <v>1</v>
      </c>
      <c r="G5">
        <v>2</v>
      </c>
      <c r="H5">
        <v>3</v>
      </c>
      <c r="I5">
        <v>4</v>
      </c>
      <c r="J5">
        <v>5</v>
      </c>
    </row>
    <row r="6" spans="1:11" x14ac:dyDescent="0.2">
      <c r="B6" s="21" t="s">
        <v>186</v>
      </c>
      <c r="C6" s="21"/>
      <c r="D6" s="21"/>
      <c r="E6" s="21"/>
      <c r="F6" s="46">
        <f>F3/(1+$C$11)^F5</f>
        <v>2121.6720399915766</v>
      </c>
      <c r="G6" s="46">
        <f t="shared" ref="G6:H6" si="0">G3/(1+$C$11)^G5</f>
        <v>1981.6859134193353</v>
      </c>
      <c r="H6" s="46">
        <f t="shared" si="0"/>
        <v>1887.0048708172349</v>
      </c>
      <c r="I6" s="46">
        <f>I3/(1+$C$11)^I5</f>
        <v>1800.3931776711977</v>
      </c>
      <c r="J6" s="46">
        <f>J3/(1+$C$11)^J5</f>
        <v>1722.9563341734972</v>
      </c>
    </row>
    <row r="8" spans="1:11" x14ac:dyDescent="0.2">
      <c r="B8" s="47" t="s">
        <v>201</v>
      </c>
      <c r="C8" s="33"/>
      <c r="E8" s="60" t="s">
        <v>214</v>
      </c>
      <c r="F8" s="60"/>
      <c r="G8" s="60"/>
      <c r="H8" s="60"/>
      <c r="I8" s="60"/>
      <c r="J8" s="60"/>
      <c r="K8" s="60"/>
    </row>
    <row r="9" spans="1:11" x14ac:dyDescent="0.2">
      <c r="B9" t="s">
        <v>202</v>
      </c>
      <c r="C9" s="31">
        <f>SUM(F6:J6)</f>
        <v>9513.7123360728419</v>
      </c>
    </row>
    <row r="10" spans="1:11" x14ac:dyDescent="0.2">
      <c r="B10" t="s">
        <v>203</v>
      </c>
      <c r="C10" s="29">
        <v>0.02</v>
      </c>
      <c r="G10" s="60" t="s">
        <v>203</v>
      </c>
      <c r="H10" s="60"/>
      <c r="I10" s="60"/>
      <c r="J10" s="60"/>
      <c r="K10" s="60"/>
    </row>
    <row r="11" spans="1:11" ht="16" customHeight="1" x14ac:dyDescent="0.2">
      <c r="B11" t="s">
        <v>198</v>
      </c>
      <c r="C11" s="26">
        <f>WACC!C17</f>
        <v>6.6347012491847698E-2</v>
      </c>
      <c r="E11" s="32"/>
      <c r="F11" s="31">
        <f>C20</f>
        <v>5.1979200169102233</v>
      </c>
      <c r="G11" s="49">
        <f>H11-0.005</f>
        <v>9.9999999999999985E-3</v>
      </c>
      <c r="H11" s="49">
        <f>I11-0.005</f>
        <v>1.4999999999999999E-2</v>
      </c>
      <c r="I11" s="50">
        <v>0.02</v>
      </c>
      <c r="J11" s="49">
        <f>I11+0.005</f>
        <v>2.5000000000000001E-2</v>
      </c>
      <c r="K11" s="49">
        <f>J11+0.005</f>
        <v>3.0000000000000002E-2</v>
      </c>
    </row>
    <row r="12" spans="1:11" x14ac:dyDescent="0.2">
      <c r="B12" t="s">
        <v>204</v>
      </c>
      <c r="C12" s="31">
        <f>(J3*(1+C10))/(C11-C10)</f>
        <v>52281.191971402892</v>
      </c>
      <c r="E12" s="61" t="s">
        <v>198</v>
      </c>
      <c r="F12" s="49">
        <f>F13-0.005</f>
        <v>5.6347012491847703E-2</v>
      </c>
      <c r="G12" s="31">
        <f t="dataTable" ref="G12:K16" dt2D="1" dtr="1" r1="C10" r2="C11"/>
        <v>5.4507941229130354</v>
      </c>
      <c r="H12" s="31">
        <v>6.1897033502108947</v>
      </c>
      <c r="I12" s="31">
        <v>7.1319055517149819</v>
      </c>
      <c r="J12" s="31">
        <v>8.3746793632725378</v>
      </c>
      <c r="K12" s="31">
        <v>10.089147569760863</v>
      </c>
    </row>
    <row r="13" spans="1:11" ht="19" customHeight="1" x14ac:dyDescent="0.2">
      <c r="B13" t="s">
        <v>205</v>
      </c>
      <c r="C13" s="31">
        <f>C12/(1+C11)^J5</f>
        <v>37918.635233847948</v>
      </c>
      <c r="E13" s="61"/>
      <c r="F13" s="49">
        <f>F14-0.005</f>
        <v>6.1347012491847701E-2</v>
      </c>
      <c r="G13" s="31">
        <v>4.7390302239992845</v>
      </c>
      <c r="H13" s="52">
        <v>5.3229011788789453</v>
      </c>
      <c r="I13" s="52">
        <v>6.0479845018818832</v>
      </c>
      <c r="J13" s="52">
        <v>6.9725569364495152</v>
      </c>
      <c r="K13" s="31">
        <v>8.1920769150001931</v>
      </c>
    </row>
    <row r="14" spans="1:11" x14ac:dyDescent="0.2">
      <c r="B14" t="s">
        <v>206</v>
      </c>
      <c r="C14" s="31">
        <f>C13+C9</f>
        <v>47432.347569920792</v>
      </c>
      <c r="E14" s="61"/>
      <c r="F14" s="51">
        <v>6.6347012491847698E-2</v>
      </c>
      <c r="G14" s="31">
        <v>4.1536169979477586</v>
      </c>
      <c r="H14" s="52">
        <v>4.6249231432937226</v>
      </c>
      <c r="I14" s="48">
        <v>5.1979200169102233</v>
      </c>
      <c r="J14" s="52">
        <v>5.9094993029149157</v>
      </c>
      <c r="K14" s="31">
        <v>6.8168523918323753</v>
      </c>
    </row>
    <row r="15" spans="1:11" x14ac:dyDescent="0.2">
      <c r="B15" t="s">
        <v>207</v>
      </c>
      <c r="C15" s="24">
        <f>'Balance Sheet'!F25</f>
        <v>2255</v>
      </c>
      <c r="E15" s="61"/>
      <c r="F15" s="49">
        <f>F14+0.005</f>
        <v>7.1347012491847703E-2</v>
      </c>
      <c r="G15" s="31">
        <v>3.6636595489759358</v>
      </c>
      <c r="H15" s="52">
        <v>4.050826643483787</v>
      </c>
      <c r="I15" s="52">
        <v>4.5133958063338468</v>
      </c>
      <c r="J15" s="52">
        <v>5.0757705743308223</v>
      </c>
      <c r="K15" s="31">
        <v>5.774158740661683</v>
      </c>
    </row>
    <row r="16" spans="1:11" x14ac:dyDescent="0.2">
      <c r="B16" t="s">
        <v>208</v>
      </c>
      <c r="C16" s="24">
        <f>WACC!C3</f>
        <v>14666</v>
      </c>
      <c r="E16" s="61"/>
      <c r="F16" s="49">
        <f>F15+0.005</f>
        <v>7.6347012491847707E-2</v>
      </c>
      <c r="G16" s="31">
        <v>3.2475761279230415</v>
      </c>
      <c r="H16" s="31">
        <v>3.570321017892562</v>
      </c>
      <c r="I16" s="31">
        <v>3.9503439915965539</v>
      </c>
      <c r="J16" s="31">
        <v>4.4043776925584011</v>
      </c>
      <c r="K16" s="31">
        <v>4.9563753563628827</v>
      </c>
    </row>
    <row r="17" spans="2:3" x14ac:dyDescent="0.2">
      <c r="B17" t="s">
        <v>209</v>
      </c>
      <c r="C17">
        <v>4</v>
      </c>
    </row>
    <row r="18" spans="2:3" x14ac:dyDescent="0.2">
      <c r="B18" s="28" t="s">
        <v>210</v>
      </c>
      <c r="C18" s="30">
        <f>C14+C15-C16-C17</f>
        <v>35017.347569920792</v>
      </c>
    </row>
    <row r="19" spans="2:3" x14ac:dyDescent="0.2">
      <c r="B19" s="16" t="s">
        <v>211</v>
      </c>
      <c r="C19" s="28">
        <v>6736.8</v>
      </c>
    </row>
    <row r="20" spans="2:3" x14ac:dyDescent="0.2">
      <c r="B20" s="53" t="s">
        <v>212</v>
      </c>
      <c r="C20" s="54">
        <f>C18/C19</f>
        <v>5.1979200169102233</v>
      </c>
    </row>
  </sheetData>
  <mergeCells count="4">
    <mergeCell ref="G10:K10"/>
    <mergeCell ref="E12:E16"/>
    <mergeCell ref="E8:K8"/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2A77-1A0D-3A4A-B0B8-FEBFC4A45591}">
  <dimension ref="A1:C17"/>
  <sheetViews>
    <sheetView workbookViewId="0">
      <selection activeCell="G9" sqref="G9"/>
    </sheetView>
  </sheetViews>
  <sheetFormatPr baseColWidth="10" defaultRowHeight="16" x14ac:dyDescent="0.2"/>
  <cols>
    <col min="1" max="1" width="22" customWidth="1"/>
    <col min="2" max="2" width="24.1640625" customWidth="1"/>
    <col min="3" max="3" width="20.33203125" bestFit="1" customWidth="1"/>
  </cols>
  <sheetData>
    <row r="1" spans="1:3" x14ac:dyDescent="0.2">
      <c r="A1" s="60" t="s">
        <v>187</v>
      </c>
      <c r="B1" s="60"/>
      <c r="C1" s="60"/>
    </row>
    <row r="2" spans="1:3" x14ac:dyDescent="0.2">
      <c r="B2" t="s">
        <v>199</v>
      </c>
      <c r="C2">
        <v>25200</v>
      </c>
    </row>
    <row r="3" spans="1:3" x14ac:dyDescent="0.2">
      <c r="B3" t="s">
        <v>200</v>
      </c>
      <c r="C3">
        <f>SUM('Balance Sheet'!F31+'Balance Sheet'!F32+'Balance Sheet'!F43+'Balance Sheet'!F44)*-1</f>
        <v>14666</v>
      </c>
    </row>
    <row r="5" spans="1:3" x14ac:dyDescent="0.2">
      <c r="B5" t="s">
        <v>188</v>
      </c>
      <c r="C5" s="26">
        <f>('Income Statements'!E16/WACC!C3)*-1</f>
        <v>5.0865948452202374E-2</v>
      </c>
    </row>
    <row r="6" spans="1:3" x14ac:dyDescent="0.2">
      <c r="B6" t="s">
        <v>189</v>
      </c>
      <c r="C6" s="29">
        <v>0.26900000000000002</v>
      </c>
    </row>
    <row r="7" spans="1:3" x14ac:dyDescent="0.2">
      <c r="B7" t="s">
        <v>190</v>
      </c>
      <c r="C7" s="26">
        <f>C3/(C2+C3)</f>
        <v>0.36788240606030204</v>
      </c>
    </row>
    <row r="8" spans="1:3" x14ac:dyDescent="0.2">
      <c r="B8" s="21" t="s">
        <v>191</v>
      </c>
      <c r="C8" s="55">
        <f>C5*(1-C6)</f>
        <v>3.7183008318559932E-2</v>
      </c>
    </row>
    <row r="10" spans="1:3" x14ac:dyDescent="0.2">
      <c r="B10" t="s">
        <v>192</v>
      </c>
      <c r="C10" s="29">
        <v>5.1970000000000002E-2</v>
      </c>
    </row>
    <row r="11" spans="1:3" x14ac:dyDescent="0.2">
      <c r="B11" t="s">
        <v>193</v>
      </c>
      <c r="C11" s="29">
        <f>C10+C12</f>
        <v>0.10697000000000001</v>
      </c>
    </row>
    <row r="12" spans="1:3" x14ac:dyDescent="0.2">
      <c r="B12" t="s">
        <v>194</v>
      </c>
      <c r="C12" s="29">
        <v>5.5E-2</v>
      </c>
    </row>
    <row r="13" spans="1:3" x14ac:dyDescent="0.2">
      <c r="B13" t="s">
        <v>195</v>
      </c>
      <c r="C13" s="25">
        <v>0.56999999999999995</v>
      </c>
    </row>
    <row r="14" spans="1:3" x14ac:dyDescent="0.2">
      <c r="B14" t="s">
        <v>196</v>
      </c>
      <c r="C14" s="26">
        <f>C2/(C2+C3)</f>
        <v>0.63211759393969802</v>
      </c>
    </row>
    <row r="15" spans="1:3" x14ac:dyDescent="0.2">
      <c r="B15" s="21" t="s">
        <v>197</v>
      </c>
      <c r="C15" s="56">
        <f>C10+C13*(C12)</f>
        <v>8.3320000000000005E-2</v>
      </c>
    </row>
    <row r="17" spans="2:3" x14ac:dyDescent="0.2">
      <c r="B17" s="53" t="s">
        <v>198</v>
      </c>
      <c r="C17" s="57">
        <f>C8*C7+C15*C14</f>
        <v>6.6347012491847698E-2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B8C5-2E6F-A241-B922-85C3E800097D}">
  <dimension ref="A1:J11"/>
  <sheetViews>
    <sheetView workbookViewId="0">
      <selection activeCell="L6" sqref="L6"/>
    </sheetView>
  </sheetViews>
  <sheetFormatPr baseColWidth="10" defaultRowHeight="16" x14ac:dyDescent="0.2"/>
  <cols>
    <col min="1" max="1" width="22" customWidth="1"/>
    <col min="2" max="2" width="25.1640625" bestFit="1" customWidth="1"/>
  </cols>
  <sheetData>
    <row r="1" spans="1:10" x14ac:dyDescent="0.2">
      <c r="A1" s="60" t="s">
        <v>165</v>
      </c>
      <c r="B1" s="60"/>
      <c r="C1" s="60"/>
      <c r="D1" s="60"/>
      <c r="E1" s="60"/>
      <c r="F1" s="60"/>
      <c r="G1" s="60"/>
      <c r="H1" s="60"/>
      <c r="I1" s="60"/>
      <c r="J1" s="60"/>
    </row>
    <row r="2" spans="1:10" x14ac:dyDescent="0.2">
      <c r="B2" s="35" t="s">
        <v>146</v>
      </c>
      <c r="C2" s="35">
        <v>2023</v>
      </c>
      <c r="D2" s="35">
        <v>2024</v>
      </c>
      <c r="E2" s="35">
        <v>2025</v>
      </c>
      <c r="F2" s="36" t="s">
        <v>147</v>
      </c>
      <c r="G2" s="36" t="s">
        <v>148</v>
      </c>
      <c r="H2" s="36" t="s">
        <v>149</v>
      </c>
      <c r="I2" s="36" t="s">
        <v>150</v>
      </c>
      <c r="J2" s="36" t="s">
        <v>151</v>
      </c>
    </row>
    <row r="3" spans="1:10" x14ac:dyDescent="0.2">
      <c r="B3" s="13" t="s">
        <v>166</v>
      </c>
      <c r="C3" s="3">
        <f>'Balance Sheet'!C4</f>
        <v>17060</v>
      </c>
      <c r="D3" s="3">
        <f>'Balance Sheet'!D4</f>
        <v>16862</v>
      </c>
      <c r="E3" s="3">
        <f>'Balance Sheet'!E4</f>
        <v>17221</v>
      </c>
      <c r="F3" s="3">
        <f>E6</f>
        <v>17262</v>
      </c>
      <c r="G3" s="3">
        <f>F6</f>
        <v>17331.423124070254</v>
      </c>
      <c r="H3" s="3">
        <f t="shared" ref="H3:J3" si="0">G6</f>
        <v>17401.125449284966</v>
      </c>
      <c r="I3" s="3">
        <f t="shared" si="0"/>
        <v>17471.108098516095</v>
      </c>
      <c r="J3" s="3">
        <f t="shared" si="0"/>
        <v>17541.372199151483</v>
      </c>
    </row>
    <row r="4" spans="1:10" x14ac:dyDescent="0.2">
      <c r="B4" s="13" t="s">
        <v>167</v>
      </c>
      <c r="C4" s="3">
        <f>'Cash Flow Statement'!C5</f>
        <v>1700</v>
      </c>
      <c r="D4" s="3">
        <f>'Cash Flow Statement'!D5</f>
        <v>1723</v>
      </c>
      <c r="E4" s="3">
        <f>'Cash Flow Statement'!E5</f>
        <v>1775</v>
      </c>
      <c r="F4" s="3">
        <f>F10*F3</f>
        <v>1754.4092901654499</v>
      </c>
      <c r="G4" s="3">
        <f t="shared" ref="G4:J4" si="1">G10*G3</f>
        <v>1761.46505275502</v>
      </c>
      <c r="H4" s="3">
        <f t="shared" si="1"/>
        <v>1768.5491917251754</v>
      </c>
      <c r="I4" s="3">
        <f t="shared" si="1"/>
        <v>1775.661821198092</v>
      </c>
      <c r="J4" s="3">
        <f t="shared" si="1"/>
        <v>1782.803055754913</v>
      </c>
    </row>
    <row r="5" spans="1:10" x14ac:dyDescent="0.2">
      <c r="B5" s="13" t="s">
        <v>168</v>
      </c>
      <c r="C5" s="5">
        <f>C6-C3+C4</f>
        <v>1502</v>
      </c>
      <c r="D5" s="5">
        <f t="shared" ref="D5:E5" si="2">D6-D3+D4</f>
        <v>2082</v>
      </c>
      <c r="E5" s="5">
        <f t="shared" si="2"/>
        <v>1816</v>
      </c>
      <c r="F5" s="3">
        <f>F11*F3</f>
        <v>1823.8324142357021</v>
      </c>
      <c r="G5" s="3">
        <f t="shared" ref="G5:J5" si="3">G11*G3</f>
        <v>1831.1673779697328</v>
      </c>
      <c r="H5" s="3">
        <f t="shared" si="3"/>
        <v>1838.5318409563038</v>
      </c>
      <c r="I5" s="3">
        <f t="shared" si="3"/>
        <v>1845.9259218334803</v>
      </c>
      <c r="J5" s="3">
        <f t="shared" si="3"/>
        <v>1853.3497397164567</v>
      </c>
    </row>
    <row r="6" spans="1:10" x14ac:dyDescent="0.2">
      <c r="B6" s="20" t="s">
        <v>169</v>
      </c>
      <c r="C6" s="58">
        <f>'Balance Sheet'!D4</f>
        <v>16862</v>
      </c>
      <c r="D6" s="58">
        <f>'Balance Sheet'!E4</f>
        <v>17221</v>
      </c>
      <c r="E6" s="58">
        <f>'Balance Sheet'!F4</f>
        <v>17262</v>
      </c>
      <c r="F6" s="58">
        <f>F3-F4+F5</f>
        <v>17331.423124070254</v>
      </c>
      <c r="G6" s="58">
        <f t="shared" ref="G6:J6" si="4">G3-G4+G5</f>
        <v>17401.125449284966</v>
      </c>
      <c r="H6" s="58">
        <f t="shared" si="4"/>
        <v>17471.108098516095</v>
      </c>
      <c r="I6" s="58">
        <f t="shared" si="4"/>
        <v>17541.372199151483</v>
      </c>
      <c r="J6" s="58">
        <f t="shared" si="4"/>
        <v>17611.918883113027</v>
      </c>
    </row>
    <row r="7" spans="1:10" x14ac:dyDescent="0.2">
      <c r="E7" s="3"/>
    </row>
    <row r="8" spans="1:10" x14ac:dyDescent="0.2">
      <c r="A8" s="45" t="s">
        <v>175</v>
      </c>
      <c r="B8" s="45"/>
      <c r="C8" s="45"/>
      <c r="D8" s="45"/>
      <c r="E8" s="45"/>
      <c r="F8" s="45"/>
      <c r="G8" s="45"/>
      <c r="H8" s="45"/>
      <c r="I8" s="45"/>
      <c r="J8" s="45"/>
    </row>
    <row r="9" spans="1:10" x14ac:dyDescent="0.2">
      <c r="B9" s="35" t="s">
        <v>146</v>
      </c>
      <c r="C9" s="35">
        <v>2023</v>
      </c>
      <c r="D9" s="35">
        <v>2024</v>
      </c>
      <c r="E9" s="35">
        <v>2025</v>
      </c>
      <c r="F9" s="36" t="s">
        <v>147</v>
      </c>
      <c r="G9" s="36" t="s">
        <v>148</v>
      </c>
      <c r="H9" s="36" t="s">
        <v>149</v>
      </c>
      <c r="I9" s="36" t="s">
        <v>150</v>
      </c>
      <c r="J9" s="36" t="s">
        <v>151</v>
      </c>
    </row>
    <row r="10" spans="1:10" x14ac:dyDescent="0.2">
      <c r="B10" s="39" t="s">
        <v>179</v>
      </c>
      <c r="C10" s="40">
        <f>C4/C3</f>
        <v>9.9648300117233288E-2</v>
      </c>
      <c r="D10" s="40">
        <f t="shared" ref="D10:E10" si="5">D4/D3</f>
        <v>0.10218242201399597</v>
      </c>
      <c r="E10" s="40">
        <f t="shared" si="5"/>
        <v>0.10307183090412868</v>
      </c>
      <c r="F10" s="40">
        <f>AVERAGE(C10:E10)</f>
        <v>0.10163418434511932</v>
      </c>
      <c r="G10" s="40">
        <f>F10</f>
        <v>0.10163418434511932</v>
      </c>
      <c r="H10" s="40">
        <f>F10</f>
        <v>0.10163418434511932</v>
      </c>
      <c r="I10" s="40">
        <f>F10</f>
        <v>0.10163418434511932</v>
      </c>
      <c r="J10" s="40">
        <f>F10</f>
        <v>0.10163418434511932</v>
      </c>
    </row>
    <row r="11" spans="1:10" x14ac:dyDescent="0.2">
      <c r="B11" s="39" t="s">
        <v>180</v>
      </c>
      <c r="C11" s="40">
        <f>C5/C3</f>
        <v>8.8042203985932002E-2</v>
      </c>
      <c r="D11" s="40">
        <f t="shared" ref="D11:E11" si="6">D5/D3</f>
        <v>0.12347289763966315</v>
      </c>
      <c r="E11" s="40">
        <f t="shared" si="6"/>
        <v>0.10545264502642122</v>
      </c>
      <c r="F11" s="40">
        <f>AVERAGE(C11:E11)</f>
        <v>0.10565591555067212</v>
      </c>
      <c r="G11" s="40">
        <f>F11</f>
        <v>0.10565591555067212</v>
      </c>
      <c r="H11" s="40">
        <f>F11</f>
        <v>0.10565591555067212</v>
      </c>
      <c r="I11" s="40">
        <f>F11</f>
        <v>0.10565591555067212</v>
      </c>
      <c r="J11" s="40">
        <f>F11</f>
        <v>0.10565591555067212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0EF7-BFD9-294A-929F-FB672841F4C6}">
  <dimension ref="A1:K20"/>
  <sheetViews>
    <sheetView workbookViewId="0">
      <selection activeCell="N13" sqref="N13"/>
    </sheetView>
  </sheetViews>
  <sheetFormatPr baseColWidth="10" defaultRowHeight="16" x14ac:dyDescent="0.2"/>
  <cols>
    <col min="1" max="1" width="17.5" bestFit="1" customWidth="1"/>
    <col min="2" max="2" width="28.5" bestFit="1" customWidth="1"/>
  </cols>
  <sheetData>
    <row r="1" spans="1:11" x14ac:dyDescent="0.2">
      <c r="A1" s="60" t="s">
        <v>170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x14ac:dyDescent="0.2">
      <c r="B2" s="35" t="s">
        <v>146</v>
      </c>
      <c r="C2" s="35">
        <v>2022</v>
      </c>
      <c r="D2" s="35">
        <v>2023</v>
      </c>
      <c r="E2" s="35">
        <v>2024</v>
      </c>
      <c r="F2" s="35">
        <v>2025</v>
      </c>
      <c r="G2" s="35" t="s">
        <v>147</v>
      </c>
      <c r="H2" s="35" t="s">
        <v>148</v>
      </c>
      <c r="I2" s="35" t="s">
        <v>149</v>
      </c>
      <c r="J2" s="35" t="s">
        <v>150</v>
      </c>
      <c r="K2" s="35" t="s">
        <v>151</v>
      </c>
    </row>
    <row r="3" spans="1:11" x14ac:dyDescent="0.2">
      <c r="B3" t="s">
        <v>171</v>
      </c>
      <c r="C3">
        <f>'Balance Sheet'!C18</f>
        <v>2339</v>
      </c>
      <c r="D3">
        <f>'Balance Sheet'!D18</f>
        <v>2510</v>
      </c>
      <c r="E3">
        <f>'Balance Sheet'!E18</f>
        <v>2635</v>
      </c>
      <c r="F3">
        <f>'Balance Sheet'!F18</f>
        <v>2768</v>
      </c>
      <c r="G3" s="24">
        <f>-(G17*G14)/360</f>
        <v>2781.4209535609989</v>
      </c>
      <c r="H3" s="24">
        <f t="shared" ref="H3:K3" si="0">-(H17*H14)/360</f>
        <v>2845.3936354929015</v>
      </c>
      <c r="I3" s="24">
        <f t="shared" si="0"/>
        <v>2905.1469018382527</v>
      </c>
      <c r="J3" s="24">
        <f t="shared" si="0"/>
        <v>2963.2498398750172</v>
      </c>
      <c r="K3" s="24">
        <f t="shared" si="0"/>
        <v>3022.5148366725175</v>
      </c>
    </row>
    <row r="4" spans="1:11" x14ac:dyDescent="0.2">
      <c r="B4" t="s">
        <v>172</v>
      </c>
      <c r="C4">
        <f>'Balance Sheet'!C19</f>
        <v>1263</v>
      </c>
      <c r="D4">
        <f>'Balance Sheet'!D19</f>
        <v>1315</v>
      </c>
      <c r="E4">
        <f>'Balance Sheet'!E19</f>
        <v>1349</v>
      </c>
      <c r="F4">
        <f>'Balance Sheet'!F19</f>
        <v>1210</v>
      </c>
      <c r="G4" s="24">
        <f>(G13*G16)/360</f>
        <v>1363.6842861915006</v>
      </c>
      <c r="H4" s="24">
        <f t="shared" ref="H4:K4" si="1">(H13*H16)/360</f>
        <v>1395.0490247739051</v>
      </c>
      <c r="I4" s="24">
        <f t="shared" si="1"/>
        <v>1424.3450542941569</v>
      </c>
      <c r="J4" s="24">
        <f t="shared" si="1"/>
        <v>1452.8319553800402</v>
      </c>
      <c r="K4" s="24">
        <f t="shared" si="1"/>
        <v>1481.8885944876408</v>
      </c>
    </row>
    <row r="5" spans="1:11" x14ac:dyDescent="0.2">
      <c r="B5" s="21" t="s">
        <v>162</v>
      </c>
      <c r="C5" s="21">
        <f>SUM(C3:C4)</f>
        <v>3602</v>
      </c>
      <c r="D5" s="21">
        <f t="shared" ref="D5:K5" si="2">SUM(D3:D4)</f>
        <v>3825</v>
      </c>
      <c r="E5" s="21">
        <f t="shared" si="2"/>
        <v>3984</v>
      </c>
      <c r="F5" s="21">
        <f t="shared" si="2"/>
        <v>3978</v>
      </c>
      <c r="G5" s="27">
        <f t="shared" si="2"/>
        <v>4145.1052397525</v>
      </c>
      <c r="H5" s="27">
        <f t="shared" si="2"/>
        <v>4240.4426602668063</v>
      </c>
      <c r="I5" s="27">
        <f t="shared" si="2"/>
        <v>4329.4919561324095</v>
      </c>
      <c r="J5" s="27">
        <f t="shared" si="2"/>
        <v>4416.0817952550569</v>
      </c>
      <c r="K5" s="27">
        <f t="shared" si="2"/>
        <v>4504.4034311601581</v>
      </c>
    </row>
    <row r="7" spans="1:11" x14ac:dyDescent="0.2">
      <c r="B7" t="s">
        <v>173</v>
      </c>
      <c r="C7" s="3">
        <f>'Balance Sheet'!C30</f>
        <v>-9181</v>
      </c>
      <c r="D7" s="3">
        <f>'Balance Sheet'!D30</f>
        <v>-9818</v>
      </c>
      <c r="E7" s="3">
        <f>'Balance Sheet'!E30</f>
        <v>-10264</v>
      </c>
      <c r="F7" s="3">
        <f>'Balance Sheet'!F30</f>
        <v>-10364</v>
      </c>
      <c r="G7" s="3">
        <f>(G18*G14)/360</f>
        <v>-10704.65836933621</v>
      </c>
      <c r="H7" s="3">
        <f t="shared" ref="H7:K7" si="3">(H18*H14)/360</f>
        <v>-10950.865511830943</v>
      </c>
      <c r="I7" s="3">
        <f t="shared" si="3"/>
        <v>-11180.833687579392</v>
      </c>
      <c r="J7" s="3">
        <f t="shared" si="3"/>
        <v>-11404.450361330979</v>
      </c>
      <c r="K7" s="3">
        <f t="shared" si="3"/>
        <v>-11632.539368557598</v>
      </c>
    </row>
    <row r="8" spans="1:11" x14ac:dyDescent="0.2">
      <c r="B8" t="s">
        <v>70</v>
      </c>
      <c r="C8" s="3">
        <f>'Balance Sheet'!C37</f>
        <v>-283</v>
      </c>
      <c r="D8" s="3">
        <f>'Balance Sheet'!D37</f>
        <v>-366</v>
      </c>
      <c r="E8" s="3">
        <f>'Balance Sheet'!E37</f>
        <v>-306</v>
      </c>
      <c r="F8" s="3">
        <f>'Balance Sheet'!F37</f>
        <v>-300</v>
      </c>
      <c r="G8" s="3">
        <f>G13*G20</f>
        <v>-342.65010280607311</v>
      </c>
      <c r="H8" s="3">
        <f t="shared" ref="H8:K8" si="4">H13*H20</f>
        <v>-350.53105517061277</v>
      </c>
      <c r="I8" s="3">
        <f t="shared" si="4"/>
        <v>-357.89220732919557</v>
      </c>
      <c r="J8" s="3">
        <f t="shared" si="4"/>
        <v>-365.05005147577953</v>
      </c>
      <c r="K8" s="3">
        <f t="shared" si="4"/>
        <v>-372.35105250529506</v>
      </c>
    </row>
    <row r="9" spans="1:11" x14ac:dyDescent="0.2">
      <c r="B9" s="21" t="s">
        <v>174</v>
      </c>
      <c r="C9" s="22">
        <f>SUM(C7:C8)</f>
        <v>-9464</v>
      </c>
      <c r="D9" s="22">
        <f t="shared" ref="D9:K9" si="5">SUM(D7:D8)</f>
        <v>-10184</v>
      </c>
      <c r="E9" s="22">
        <f t="shared" si="5"/>
        <v>-10570</v>
      </c>
      <c r="F9" s="22">
        <f t="shared" si="5"/>
        <v>-10664</v>
      </c>
      <c r="G9" s="22">
        <f t="shared" si="5"/>
        <v>-11047.308472142284</v>
      </c>
      <c r="H9" s="22">
        <f t="shared" si="5"/>
        <v>-11301.396567001557</v>
      </c>
      <c r="I9" s="22">
        <f t="shared" si="5"/>
        <v>-11538.725894908588</v>
      </c>
      <c r="J9" s="22">
        <f t="shared" si="5"/>
        <v>-11769.500412806758</v>
      </c>
      <c r="K9" s="22">
        <f t="shared" si="5"/>
        <v>-12004.890421062893</v>
      </c>
    </row>
    <row r="11" spans="1:11" x14ac:dyDescent="0.2">
      <c r="A11" s="45" t="s">
        <v>175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</row>
    <row r="12" spans="1:11" x14ac:dyDescent="0.2">
      <c r="B12" s="35" t="s">
        <v>146</v>
      </c>
      <c r="C12" s="35">
        <v>2022</v>
      </c>
      <c r="D12" s="35">
        <v>2023</v>
      </c>
      <c r="E12" s="35">
        <v>2024</v>
      </c>
      <c r="F12" s="35">
        <v>2025</v>
      </c>
      <c r="G12" s="35" t="s">
        <v>147</v>
      </c>
      <c r="H12" s="35" t="s">
        <v>148</v>
      </c>
      <c r="I12" s="35" t="s">
        <v>149</v>
      </c>
      <c r="J12" s="35" t="s">
        <v>150</v>
      </c>
      <c r="K12" s="35" t="s">
        <v>151</v>
      </c>
    </row>
    <row r="13" spans="1:11" x14ac:dyDescent="0.2">
      <c r="B13" s="39" t="s">
        <v>4</v>
      </c>
      <c r="C13" s="39"/>
      <c r="D13" s="39">
        <f>'Free Cash Flow'!C3</f>
        <v>65762</v>
      </c>
      <c r="E13" s="39">
        <f>'Free Cash Flow'!D3</f>
        <v>68187</v>
      </c>
      <c r="F13" s="39">
        <f>'Free Cash Flow'!E3</f>
        <v>69916</v>
      </c>
      <c r="G13" s="41">
        <f>'Free Cash Flow'!F3</f>
        <v>71663.899999999994</v>
      </c>
      <c r="H13" s="41">
        <f>'Free Cash Flow'!G3</f>
        <v>73312.169699999984</v>
      </c>
      <c r="I13" s="41">
        <f>'Free Cash Flow'!H3</f>
        <v>74851.725263699976</v>
      </c>
      <c r="J13" s="41">
        <f>'Free Cash Flow'!I3</f>
        <v>76348.759768973978</v>
      </c>
      <c r="K13" s="41">
        <f>'Free Cash Flow'!J3</f>
        <v>77875.734964353454</v>
      </c>
    </row>
    <row r="14" spans="1:11" x14ac:dyDescent="0.2">
      <c r="B14" s="39" t="s">
        <v>153</v>
      </c>
      <c r="C14" s="39"/>
      <c r="D14" s="42">
        <f>'Free Cash Flow'!C4</f>
        <v>-62034</v>
      </c>
      <c r="E14" s="42">
        <f>'Free Cash Flow'!D4</f>
        <v>-62836</v>
      </c>
      <c r="F14" s="42">
        <f>'Free Cash Flow'!E4</f>
        <v>-64205</v>
      </c>
      <c r="G14" s="42">
        <f>'Free Cash Flow'!F4</f>
        <v>-66483.833188630379</v>
      </c>
      <c r="H14" s="42">
        <f>'Free Cash Flow'!G4</f>
        <v>-68012.961351968872</v>
      </c>
      <c r="I14" s="42">
        <f>'Free Cash Flow'!H4</f>
        <v>-69441.233540360219</v>
      </c>
      <c r="J14" s="42">
        <f>'Free Cash Flow'!I4</f>
        <v>-70830.058211167416</v>
      </c>
      <c r="K14" s="42">
        <f>'Free Cash Flow'!J4</f>
        <v>-72246.659375390765</v>
      </c>
    </row>
    <row r="15" spans="1:11" x14ac:dyDescent="0.2">
      <c r="B15" s="39"/>
      <c r="C15" s="39"/>
      <c r="D15" s="39"/>
      <c r="E15" s="39"/>
      <c r="F15" s="39"/>
      <c r="G15" s="39"/>
      <c r="H15" s="39"/>
      <c r="I15" s="39"/>
      <c r="J15" s="39"/>
      <c r="K15" s="39"/>
    </row>
    <row r="16" spans="1:11" x14ac:dyDescent="0.2">
      <c r="B16" s="39" t="s">
        <v>182</v>
      </c>
      <c r="C16" s="39"/>
      <c r="D16" s="43">
        <f>(D4/D13)*360</f>
        <v>7.1986861713451544</v>
      </c>
      <c r="E16" s="43">
        <f t="shared" ref="E16:F16" si="6">(E4/E13)*360</f>
        <v>7.1221787144177044</v>
      </c>
      <c r="F16" s="43">
        <f t="shared" si="6"/>
        <v>6.2303335431088742</v>
      </c>
      <c r="G16" s="43">
        <f>AVERAGE(D16:F16)</f>
        <v>6.8503994762905771</v>
      </c>
      <c r="H16" s="43">
        <f>G16</f>
        <v>6.8503994762905771</v>
      </c>
      <c r="I16" s="43">
        <f>G16</f>
        <v>6.8503994762905771</v>
      </c>
      <c r="J16" s="43">
        <f>G16</f>
        <v>6.8503994762905771</v>
      </c>
      <c r="K16" s="43">
        <f>G16</f>
        <v>6.8503994762905771</v>
      </c>
    </row>
    <row r="17" spans="2:11" x14ac:dyDescent="0.2">
      <c r="B17" s="39" t="s">
        <v>181</v>
      </c>
      <c r="C17" s="39"/>
      <c r="D17" s="43">
        <f>(D3/-D14)*360</f>
        <v>14.566205629171099</v>
      </c>
      <c r="E17" s="43">
        <f t="shared" ref="E17:F17" si="7">(E3/-E14)*360</f>
        <v>15.096441530332932</v>
      </c>
      <c r="F17" s="43">
        <f t="shared" si="7"/>
        <v>15.520286582041896</v>
      </c>
      <c r="G17" s="43">
        <f t="shared" ref="G17:G18" si="8">AVERAGE(D17:F17)</f>
        <v>15.060977913848644</v>
      </c>
      <c r="H17" s="43">
        <f>$G17</f>
        <v>15.060977913848644</v>
      </c>
      <c r="I17" s="43">
        <f t="shared" ref="I17:K18" si="9">$G17</f>
        <v>15.060977913848644</v>
      </c>
      <c r="J17" s="43">
        <f t="shared" si="9"/>
        <v>15.060977913848644</v>
      </c>
      <c r="K17" s="43">
        <f t="shared" si="9"/>
        <v>15.060977913848644</v>
      </c>
    </row>
    <row r="18" spans="2:11" x14ac:dyDescent="0.2">
      <c r="B18" s="39" t="s">
        <v>183</v>
      </c>
      <c r="C18" s="39"/>
      <c r="D18" s="43">
        <f>(D7/D14)*360</f>
        <v>56.976496759841382</v>
      </c>
      <c r="E18" s="43">
        <f t="shared" ref="E18:F18" si="10">(E7/E14)*360</f>
        <v>58.804506970526454</v>
      </c>
      <c r="F18" s="43">
        <f t="shared" si="10"/>
        <v>58.111362043454555</v>
      </c>
      <c r="G18" s="43">
        <f t="shared" si="8"/>
        <v>57.964121924607468</v>
      </c>
      <c r="H18" s="43">
        <f>$G18</f>
        <v>57.964121924607468</v>
      </c>
      <c r="I18" s="43">
        <f t="shared" si="9"/>
        <v>57.964121924607468</v>
      </c>
      <c r="J18" s="43">
        <f t="shared" si="9"/>
        <v>57.964121924607468</v>
      </c>
      <c r="K18" s="43">
        <f t="shared" si="9"/>
        <v>57.964121924607468</v>
      </c>
    </row>
    <row r="19" spans="2:11" x14ac:dyDescent="0.2">
      <c r="B19" s="39"/>
      <c r="C19" s="39"/>
      <c r="D19" s="39"/>
      <c r="E19" s="39"/>
      <c r="F19" s="39"/>
      <c r="G19" s="39"/>
      <c r="H19" s="39"/>
      <c r="I19" s="39"/>
      <c r="J19" s="39"/>
      <c r="K19" s="39"/>
    </row>
    <row r="20" spans="2:11" x14ac:dyDescent="0.2">
      <c r="B20" s="39" t="s">
        <v>184</v>
      </c>
      <c r="C20" s="39"/>
      <c r="D20" s="44">
        <f>D8/D13</f>
        <v>-5.565524162890423E-3</v>
      </c>
      <c r="E20" s="44">
        <f t="shared" ref="E20:F20" si="11">E8/E13</f>
        <v>-4.4876589379207179E-3</v>
      </c>
      <c r="F20" s="44">
        <f t="shared" si="11"/>
        <v>-4.2908633217003259E-3</v>
      </c>
      <c r="G20" s="44">
        <f>AVERAGE(D20:F20)</f>
        <v>-4.781348807503822E-3</v>
      </c>
      <c r="H20" s="44">
        <f>$G20</f>
        <v>-4.781348807503822E-3</v>
      </c>
      <c r="I20" s="44">
        <f t="shared" ref="I20:K20" si="12">$G20</f>
        <v>-4.781348807503822E-3</v>
      </c>
      <c r="J20" s="44">
        <f t="shared" si="12"/>
        <v>-4.781348807503822E-3</v>
      </c>
      <c r="K20" s="44">
        <f t="shared" si="12"/>
        <v>-4.781348807503822E-3</v>
      </c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1EC4-934A-4448-BB2F-9A0A345E457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C2AE5-3FC7-0C41-81D6-E0F932228ACB}">
  <dimension ref="A1:J31"/>
  <sheetViews>
    <sheetView zoomScale="93" zoomScaleNormal="80" workbookViewId="0">
      <selection activeCell="G3" sqref="G3"/>
    </sheetView>
  </sheetViews>
  <sheetFormatPr baseColWidth="10" defaultRowHeight="16" x14ac:dyDescent="0.2"/>
  <cols>
    <col min="1" max="1" width="22.5" customWidth="1"/>
    <col min="2" max="2" width="64.6640625" customWidth="1"/>
    <col min="5" max="5" width="10.83203125" style="2"/>
    <col min="10" max="10" width="10.83203125" style="2"/>
  </cols>
  <sheetData>
    <row r="1" spans="1:10" x14ac:dyDescent="0.2">
      <c r="A1" t="s">
        <v>0</v>
      </c>
      <c r="C1" s="6">
        <v>44958</v>
      </c>
      <c r="D1" s="6">
        <v>45323</v>
      </c>
      <c r="E1" s="6">
        <v>45689</v>
      </c>
      <c r="J1" s="6"/>
    </row>
    <row r="2" spans="1:10" x14ac:dyDescent="0.2">
      <c r="C2" t="s">
        <v>27</v>
      </c>
      <c r="D2" s="2" t="s">
        <v>27</v>
      </c>
      <c r="E2" s="2" t="s">
        <v>27</v>
      </c>
    </row>
    <row r="3" spans="1:10" s="7" customFormat="1" ht="19" x14ac:dyDescent="0.25">
      <c r="B3" s="1" t="s">
        <v>1</v>
      </c>
      <c r="E3" s="8"/>
      <c r="J3" s="8"/>
    </row>
    <row r="4" spans="1:10" x14ac:dyDescent="0.2">
      <c r="B4" t="s">
        <v>2</v>
      </c>
      <c r="C4" s="3"/>
      <c r="D4" s="3">
        <v>67673</v>
      </c>
      <c r="E4" s="3">
        <v>69191</v>
      </c>
      <c r="F4" s="3"/>
      <c r="G4" s="3"/>
      <c r="H4" s="3"/>
      <c r="J4" s="3"/>
    </row>
    <row r="5" spans="1:10" x14ac:dyDescent="0.2">
      <c r="B5" t="s">
        <v>3</v>
      </c>
      <c r="C5" s="3"/>
      <c r="D5" s="3">
        <v>514</v>
      </c>
      <c r="E5" s="3">
        <v>725</v>
      </c>
      <c r="F5" s="3"/>
      <c r="G5" s="3"/>
      <c r="H5" s="3"/>
      <c r="J5" s="3"/>
    </row>
    <row r="6" spans="1:10" s="7" customFormat="1" ht="19" x14ac:dyDescent="0.25">
      <c r="B6" s="1" t="s">
        <v>4</v>
      </c>
      <c r="C6" s="4">
        <v>65762</v>
      </c>
      <c r="D6" s="4">
        <v>68187</v>
      </c>
      <c r="E6" s="4">
        <v>69916</v>
      </c>
      <c r="F6" s="4"/>
      <c r="G6" s="4"/>
      <c r="H6" s="4"/>
      <c r="J6" s="4"/>
    </row>
    <row r="7" spans="1:10" x14ac:dyDescent="0.2">
      <c r="B7" t="s">
        <v>7</v>
      </c>
      <c r="C7" s="3">
        <v>-62034</v>
      </c>
      <c r="D7" s="3">
        <v>-62836</v>
      </c>
      <c r="E7" s="3">
        <v>-64205</v>
      </c>
      <c r="F7" s="3"/>
      <c r="G7" s="3"/>
      <c r="H7" s="3"/>
      <c r="J7" s="3"/>
    </row>
    <row r="8" spans="1:10" x14ac:dyDescent="0.2">
      <c r="B8" t="s">
        <v>6</v>
      </c>
      <c r="C8" s="3"/>
      <c r="D8" s="3">
        <v>-454</v>
      </c>
      <c r="E8" s="3">
        <v>-598</v>
      </c>
      <c r="F8" s="3"/>
      <c r="G8" s="3"/>
      <c r="H8" s="3"/>
      <c r="J8" s="3"/>
    </row>
    <row r="9" spans="1:10" x14ac:dyDescent="0.2">
      <c r="B9" t="s">
        <v>5</v>
      </c>
      <c r="C9" s="3"/>
      <c r="D9" s="3">
        <v>-48</v>
      </c>
      <c r="E9" s="3">
        <v>-62</v>
      </c>
      <c r="F9" s="3"/>
      <c r="G9" s="3"/>
      <c r="H9" s="3"/>
      <c r="J9" s="3"/>
    </row>
    <row r="10" spans="1:10" x14ac:dyDescent="0.2">
      <c r="B10" t="s">
        <v>36</v>
      </c>
      <c r="C10" s="3">
        <v>-67</v>
      </c>
      <c r="D10" s="3"/>
      <c r="E10" s="3"/>
      <c r="F10" s="3"/>
      <c r="G10" s="3"/>
      <c r="H10" s="3"/>
      <c r="J10" s="3"/>
    </row>
    <row r="11" spans="1:10" s="7" customFormat="1" ht="19" x14ac:dyDescent="0.25">
      <c r="B11" s="1" t="s">
        <v>8</v>
      </c>
      <c r="C11" s="4">
        <v>3661</v>
      </c>
      <c r="D11" s="4">
        <v>4849</v>
      </c>
      <c r="E11" s="4">
        <v>5051</v>
      </c>
      <c r="F11" s="4"/>
      <c r="G11" s="4"/>
      <c r="H11" s="4"/>
      <c r="J11" s="4"/>
    </row>
    <row r="12" spans="1:10" x14ac:dyDescent="0.2">
      <c r="B12" t="s">
        <v>9</v>
      </c>
      <c r="C12" s="3">
        <v>-2136</v>
      </c>
      <c r="D12" s="3">
        <v>-2028</v>
      </c>
      <c r="E12" s="3">
        <v>-2340</v>
      </c>
      <c r="F12" s="3"/>
      <c r="G12" s="3"/>
      <c r="H12" s="3"/>
      <c r="J12" s="3"/>
    </row>
    <row r="13" spans="1:10" s="7" customFormat="1" ht="19" x14ac:dyDescent="0.25">
      <c r="B13" s="1" t="s">
        <v>10</v>
      </c>
      <c r="C13" s="4">
        <v>1525</v>
      </c>
      <c r="D13" s="4">
        <v>2821</v>
      </c>
      <c r="E13" s="4">
        <v>2711</v>
      </c>
      <c r="F13" s="4"/>
      <c r="G13" s="4"/>
      <c r="H13" s="4"/>
      <c r="J13" s="4"/>
    </row>
    <row r="14" spans="1:10" x14ac:dyDescent="0.2">
      <c r="B14" t="s">
        <v>11</v>
      </c>
      <c r="C14" s="3">
        <v>8</v>
      </c>
      <c r="D14" s="3">
        <v>6</v>
      </c>
      <c r="E14" s="3">
        <v>-4</v>
      </c>
      <c r="F14" s="3"/>
      <c r="G14" s="3"/>
      <c r="H14" s="3"/>
      <c r="J14" s="3"/>
    </row>
    <row r="15" spans="1:10" x14ac:dyDescent="0.2">
      <c r="B15" t="s">
        <v>12</v>
      </c>
      <c r="C15" s="3">
        <v>85</v>
      </c>
      <c r="D15" s="3">
        <v>267</v>
      </c>
      <c r="E15" s="5">
        <v>254</v>
      </c>
      <c r="F15" s="3"/>
      <c r="G15" s="3"/>
      <c r="H15" s="3"/>
      <c r="J15" s="5"/>
    </row>
    <row r="16" spans="1:10" x14ac:dyDescent="0.2">
      <c r="B16" t="s">
        <v>13</v>
      </c>
      <c r="C16" s="3">
        <v>-618</v>
      </c>
      <c r="D16" s="3">
        <v>-805</v>
      </c>
      <c r="E16" s="5">
        <v>-746</v>
      </c>
      <c r="F16" s="3"/>
      <c r="G16" s="3"/>
      <c r="H16" s="3"/>
      <c r="J16" s="5"/>
    </row>
    <row r="17" spans="2:10" s="7" customFormat="1" ht="19" x14ac:dyDescent="0.25">
      <c r="B17" s="1" t="s">
        <v>14</v>
      </c>
      <c r="C17" s="4">
        <v>1000</v>
      </c>
      <c r="D17" s="4">
        <v>2289</v>
      </c>
      <c r="E17" s="4">
        <v>2215</v>
      </c>
      <c r="F17" s="4"/>
      <c r="G17" s="4"/>
      <c r="H17" s="4"/>
      <c r="J17" s="4"/>
    </row>
    <row r="18" spans="2:10" x14ac:dyDescent="0.2">
      <c r="B18" t="s">
        <v>15</v>
      </c>
      <c r="C18" s="3">
        <v>-247</v>
      </c>
      <c r="D18" s="3">
        <v>-525</v>
      </c>
      <c r="E18" s="5">
        <v>-611</v>
      </c>
      <c r="F18" s="3"/>
      <c r="G18" s="3"/>
      <c r="H18" s="3"/>
      <c r="J18" s="5"/>
    </row>
    <row r="19" spans="2:10" s="7" customFormat="1" ht="19" x14ac:dyDescent="0.25">
      <c r="B19" s="1" t="s">
        <v>16</v>
      </c>
      <c r="C19" s="4">
        <v>753</v>
      </c>
      <c r="D19" s="4">
        <v>1764</v>
      </c>
      <c r="E19" s="4">
        <v>1604</v>
      </c>
      <c r="F19" s="4"/>
      <c r="G19" s="4"/>
      <c r="H19" s="4"/>
      <c r="J19" s="4"/>
    </row>
    <row r="20" spans="2:10" s="7" customFormat="1" ht="19" x14ac:dyDescent="0.25">
      <c r="B20" s="1" t="s">
        <v>17</v>
      </c>
      <c r="C20" s="4"/>
      <c r="D20" s="4"/>
      <c r="E20" s="4"/>
      <c r="F20" s="4"/>
      <c r="G20" s="4"/>
      <c r="H20" s="4"/>
      <c r="J20" s="4"/>
    </row>
    <row r="21" spans="2:10" x14ac:dyDescent="0.2">
      <c r="B21" t="s">
        <v>18</v>
      </c>
      <c r="C21" s="3">
        <v>-9</v>
      </c>
      <c r="D21" s="3">
        <v>-572</v>
      </c>
      <c r="E21" s="5">
        <v>26</v>
      </c>
      <c r="F21" s="3"/>
      <c r="G21" s="3"/>
      <c r="H21" s="3"/>
      <c r="J21" s="5"/>
    </row>
    <row r="22" spans="2:10" s="7" customFormat="1" ht="19" x14ac:dyDescent="0.25">
      <c r="B22" s="1" t="s">
        <v>19</v>
      </c>
      <c r="C22" s="4">
        <v>744</v>
      </c>
      <c r="D22" s="4">
        <v>1192</v>
      </c>
      <c r="E22" s="4">
        <v>1630</v>
      </c>
      <c r="F22" s="4"/>
      <c r="G22" s="4"/>
      <c r="H22" s="4"/>
      <c r="J22" s="4"/>
    </row>
    <row r="23" spans="2:10" s="7" customFormat="1" ht="19" x14ac:dyDescent="0.25">
      <c r="B23" s="1" t="s">
        <v>20</v>
      </c>
      <c r="C23" s="4"/>
      <c r="D23" s="4"/>
      <c r="E23" s="4"/>
      <c r="F23" s="4"/>
      <c r="G23" s="4"/>
      <c r="H23" s="4"/>
      <c r="J23" s="4"/>
    </row>
    <row r="24" spans="2:10" x14ac:dyDescent="0.2">
      <c r="B24" t="s">
        <v>21</v>
      </c>
      <c r="C24" s="3">
        <v>745</v>
      </c>
      <c r="D24" s="3">
        <v>1188</v>
      </c>
      <c r="E24" s="3">
        <v>1626</v>
      </c>
      <c r="F24" s="3"/>
      <c r="G24" s="3"/>
      <c r="H24" s="3"/>
      <c r="J24" s="3"/>
    </row>
    <row r="25" spans="2:10" x14ac:dyDescent="0.2">
      <c r="B25" t="s">
        <v>22</v>
      </c>
      <c r="C25" s="3">
        <v>-1</v>
      </c>
      <c r="D25" s="3">
        <v>4</v>
      </c>
      <c r="E25" s="3">
        <v>4</v>
      </c>
      <c r="F25" s="3"/>
      <c r="G25" s="3"/>
      <c r="H25" s="3"/>
      <c r="J25" s="3"/>
    </row>
    <row r="26" spans="2:10" s="7" customFormat="1" ht="19" x14ac:dyDescent="0.25">
      <c r="B26" s="1" t="s">
        <v>23</v>
      </c>
      <c r="C26" s="4"/>
      <c r="D26" s="4"/>
      <c r="E26" s="4"/>
      <c r="F26" s="4"/>
      <c r="G26" s="4"/>
      <c r="H26" s="4"/>
      <c r="J26" s="4"/>
    </row>
    <row r="27" spans="2:10" x14ac:dyDescent="0.2">
      <c r="B27" t="s">
        <v>24</v>
      </c>
      <c r="C27" s="3" t="s">
        <v>37</v>
      </c>
      <c r="D27" s="3" t="s">
        <v>32</v>
      </c>
      <c r="E27" s="3" t="s">
        <v>28</v>
      </c>
      <c r="F27" s="3"/>
      <c r="G27" s="3"/>
      <c r="H27" s="3"/>
      <c r="J27" s="3"/>
    </row>
    <row r="28" spans="2:10" x14ac:dyDescent="0.2">
      <c r="B28" t="s">
        <v>25</v>
      </c>
      <c r="C28" s="3" t="s">
        <v>38</v>
      </c>
      <c r="D28" s="3" t="s">
        <v>33</v>
      </c>
      <c r="E28" s="3" t="s">
        <v>29</v>
      </c>
      <c r="F28" s="3"/>
      <c r="G28" s="3"/>
      <c r="H28" s="3"/>
      <c r="J28" s="3"/>
    </row>
    <row r="29" spans="2:10" s="7" customFormat="1" ht="19" x14ac:dyDescent="0.25">
      <c r="B29" s="1" t="s">
        <v>26</v>
      </c>
      <c r="C29" s="4"/>
      <c r="D29" s="4"/>
      <c r="E29" s="4"/>
      <c r="F29" s="4"/>
      <c r="G29" s="4"/>
      <c r="H29" s="4"/>
      <c r="J29" s="4"/>
    </row>
    <row r="30" spans="2:10" x14ac:dyDescent="0.2">
      <c r="B30" t="s">
        <v>24</v>
      </c>
      <c r="C30" s="3" t="s">
        <v>39</v>
      </c>
      <c r="D30" s="3" t="s">
        <v>34</v>
      </c>
      <c r="E30" s="3" t="s">
        <v>30</v>
      </c>
      <c r="F30" s="3"/>
      <c r="G30" s="3"/>
      <c r="H30" s="3"/>
      <c r="J30" s="3"/>
    </row>
    <row r="31" spans="2:10" x14ac:dyDescent="0.2">
      <c r="B31" t="s">
        <v>25</v>
      </c>
      <c r="C31" s="3" t="s">
        <v>40</v>
      </c>
      <c r="D31" s="3" t="s">
        <v>35</v>
      </c>
      <c r="E31" s="3" t="s">
        <v>31</v>
      </c>
      <c r="F31" s="3"/>
      <c r="G31" s="3"/>
      <c r="H31" s="3"/>
      <c r="J3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5DC76-C6F6-D04B-87D5-9B396C2AE63E}">
  <dimension ref="A1:F62"/>
  <sheetViews>
    <sheetView topLeftCell="A29" zoomScale="89" zoomScaleNormal="80" workbookViewId="0">
      <selection activeCell="B59" sqref="B59"/>
    </sheetView>
  </sheetViews>
  <sheetFormatPr baseColWidth="10" defaultRowHeight="16" x14ac:dyDescent="0.2"/>
  <cols>
    <col min="1" max="1" width="22.33203125" customWidth="1"/>
    <col min="2" max="2" width="58.83203125" customWidth="1"/>
  </cols>
  <sheetData>
    <row r="1" spans="1:6" x14ac:dyDescent="0.2">
      <c r="A1" t="s">
        <v>41</v>
      </c>
      <c r="C1" s="6">
        <v>44593</v>
      </c>
      <c r="D1" s="6">
        <v>44958</v>
      </c>
      <c r="E1" s="6">
        <v>45323</v>
      </c>
      <c r="F1" s="6">
        <v>45689</v>
      </c>
    </row>
    <row r="2" spans="1:6" x14ac:dyDescent="0.2">
      <c r="B2" s="7" t="s">
        <v>42</v>
      </c>
      <c r="C2" s="3"/>
      <c r="D2" s="3"/>
      <c r="E2" s="3"/>
      <c r="F2" s="3"/>
    </row>
    <row r="3" spans="1:6" x14ac:dyDescent="0.2">
      <c r="B3" t="s">
        <v>43</v>
      </c>
      <c r="C3" s="3">
        <v>5360</v>
      </c>
      <c r="D3" s="3">
        <v>5375</v>
      </c>
      <c r="E3" s="3">
        <v>5066</v>
      </c>
      <c r="F3" s="3">
        <v>5087</v>
      </c>
    </row>
    <row r="4" spans="1:6" x14ac:dyDescent="0.2">
      <c r="B4" t="s">
        <v>44</v>
      </c>
      <c r="C4" s="3">
        <v>17060</v>
      </c>
      <c r="D4" s="3">
        <v>16862</v>
      </c>
      <c r="E4" s="3">
        <v>17221</v>
      </c>
      <c r="F4" s="3">
        <v>17262</v>
      </c>
    </row>
    <row r="5" spans="1:6" x14ac:dyDescent="0.2">
      <c r="B5" t="s">
        <v>45</v>
      </c>
      <c r="C5" s="3">
        <v>5720</v>
      </c>
      <c r="D5" s="3">
        <v>5500</v>
      </c>
      <c r="E5" s="3">
        <v>5478</v>
      </c>
      <c r="F5" s="3">
        <v>5569</v>
      </c>
    </row>
    <row r="6" spans="1:6" x14ac:dyDescent="0.2">
      <c r="B6" t="s">
        <v>46</v>
      </c>
      <c r="C6" s="3">
        <v>22</v>
      </c>
      <c r="D6" s="3">
        <v>24</v>
      </c>
      <c r="E6" s="3">
        <v>24</v>
      </c>
      <c r="F6" s="3">
        <v>24</v>
      </c>
    </row>
    <row r="7" spans="1:6" x14ac:dyDescent="0.2">
      <c r="B7" t="s">
        <v>47</v>
      </c>
      <c r="C7" s="3">
        <v>86</v>
      </c>
      <c r="D7" s="3">
        <v>93</v>
      </c>
      <c r="E7" s="3">
        <v>102</v>
      </c>
      <c r="F7" s="3">
        <v>110</v>
      </c>
    </row>
    <row r="8" spans="1:6" x14ac:dyDescent="0.2">
      <c r="B8" t="s">
        <v>48</v>
      </c>
      <c r="C8" s="3">
        <v>1253</v>
      </c>
      <c r="D8" s="3">
        <v>1339</v>
      </c>
      <c r="E8" s="3">
        <v>1546</v>
      </c>
      <c r="F8" s="3">
        <v>934</v>
      </c>
    </row>
    <row r="9" spans="1:6" x14ac:dyDescent="0.2">
      <c r="B9" t="s">
        <v>49</v>
      </c>
      <c r="C9" s="3">
        <v>159</v>
      </c>
      <c r="D9" s="3">
        <v>79</v>
      </c>
      <c r="E9" s="3">
        <v>36</v>
      </c>
      <c r="F9" s="3">
        <v>158</v>
      </c>
    </row>
    <row r="10" spans="1:6" x14ac:dyDescent="0.2">
      <c r="B10" t="s">
        <v>50</v>
      </c>
      <c r="C10" s="3">
        <v>3141</v>
      </c>
      <c r="D10" s="3">
        <v>3029</v>
      </c>
      <c r="E10" s="3" t="s">
        <v>84</v>
      </c>
      <c r="F10" s="3" t="s">
        <v>84</v>
      </c>
    </row>
    <row r="11" spans="1:6" x14ac:dyDescent="0.2">
      <c r="B11" t="s">
        <v>51</v>
      </c>
      <c r="C11" s="3">
        <v>184</v>
      </c>
      <c r="D11" s="3">
        <v>145</v>
      </c>
      <c r="E11" s="3">
        <v>125</v>
      </c>
      <c r="F11" s="3">
        <v>124</v>
      </c>
    </row>
    <row r="12" spans="1:6" x14ac:dyDescent="0.2">
      <c r="B12" t="s">
        <v>52</v>
      </c>
      <c r="C12" s="3">
        <v>942</v>
      </c>
      <c r="D12" s="3">
        <v>873</v>
      </c>
      <c r="E12" s="3">
        <v>781</v>
      </c>
      <c r="F12" s="3">
        <v>663</v>
      </c>
    </row>
    <row r="13" spans="1:6" x14ac:dyDescent="0.2">
      <c r="B13" t="s">
        <v>53</v>
      </c>
      <c r="C13" s="3">
        <v>3150</v>
      </c>
      <c r="D13" s="3">
        <v>6</v>
      </c>
      <c r="E13" s="3">
        <v>22</v>
      </c>
      <c r="F13" s="3">
        <v>56</v>
      </c>
    </row>
    <row r="14" spans="1:6" x14ac:dyDescent="0.2">
      <c r="B14" t="s">
        <v>54</v>
      </c>
      <c r="C14" s="3">
        <v>85</v>
      </c>
      <c r="D14" s="3">
        <v>82</v>
      </c>
      <c r="E14" s="3">
        <v>32</v>
      </c>
      <c r="F14" s="3">
        <v>47</v>
      </c>
    </row>
    <row r="15" spans="1:6" x14ac:dyDescent="0.2">
      <c r="C15" s="4">
        <f>SUM(C3:C14)</f>
        <v>37162</v>
      </c>
      <c r="D15" s="4">
        <v>33407</v>
      </c>
      <c r="E15" s="4">
        <v>30433</v>
      </c>
      <c r="F15" s="4">
        <v>30034</v>
      </c>
    </row>
    <row r="16" spans="1:6" x14ac:dyDescent="0.2">
      <c r="B16" s="7" t="s">
        <v>55</v>
      </c>
      <c r="C16" s="3"/>
      <c r="D16" s="3"/>
      <c r="E16" s="3"/>
      <c r="F16" s="3"/>
    </row>
    <row r="17" spans="2:6" x14ac:dyDescent="0.2">
      <c r="B17" t="s">
        <v>48</v>
      </c>
      <c r="C17" s="3">
        <v>226</v>
      </c>
      <c r="D17" s="3">
        <v>353</v>
      </c>
      <c r="E17" s="3">
        <v>206</v>
      </c>
      <c r="F17" s="3">
        <v>151</v>
      </c>
    </row>
    <row r="18" spans="2:6" x14ac:dyDescent="0.2">
      <c r="B18" t="s">
        <v>56</v>
      </c>
      <c r="C18" s="3">
        <v>2339</v>
      </c>
      <c r="D18" s="3">
        <v>2510</v>
      </c>
      <c r="E18" s="3">
        <v>2635</v>
      </c>
      <c r="F18" s="3">
        <v>2768</v>
      </c>
    </row>
    <row r="19" spans="2:6" x14ac:dyDescent="0.2">
      <c r="B19" t="s">
        <v>49</v>
      </c>
      <c r="C19" s="3">
        <v>1263</v>
      </c>
      <c r="D19" s="3">
        <v>1315</v>
      </c>
      <c r="E19" s="3">
        <v>1349</v>
      </c>
      <c r="F19" s="3">
        <v>1210</v>
      </c>
    </row>
    <row r="20" spans="2:6" x14ac:dyDescent="0.2">
      <c r="B20" t="s">
        <v>57</v>
      </c>
      <c r="C20" s="3">
        <v>3349</v>
      </c>
      <c r="D20" s="3">
        <v>4052</v>
      </c>
      <c r="E20" s="3" t="s">
        <v>84</v>
      </c>
      <c r="F20" s="3" t="s">
        <v>84</v>
      </c>
    </row>
    <row r="21" spans="2:6" x14ac:dyDescent="0.2">
      <c r="B21" t="s">
        <v>58</v>
      </c>
      <c r="C21" s="3">
        <v>61</v>
      </c>
      <c r="D21" s="3">
        <v>72</v>
      </c>
      <c r="E21" s="3" t="s">
        <v>84</v>
      </c>
      <c r="F21" s="3" t="s">
        <v>84</v>
      </c>
    </row>
    <row r="22" spans="2:6" x14ac:dyDescent="0.2">
      <c r="B22" t="s">
        <v>52</v>
      </c>
      <c r="C22" s="3">
        <v>69</v>
      </c>
      <c r="D22" s="3">
        <v>57</v>
      </c>
      <c r="E22" s="3">
        <v>55</v>
      </c>
      <c r="F22" s="3">
        <v>172</v>
      </c>
    </row>
    <row r="23" spans="2:6" x14ac:dyDescent="0.2">
      <c r="B23" t="s">
        <v>59</v>
      </c>
      <c r="C23" s="3">
        <v>93</v>
      </c>
      <c r="D23" s="3">
        <v>63</v>
      </c>
      <c r="E23" s="3">
        <v>110</v>
      </c>
      <c r="F23" s="3">
        <v>27</v>
      </c>
    </row>
    <row r="24" spans="2:6" x14ac:dyDescent="0.2">
      <c r="B24" t="s">
        <v>60</v>
      </c>
      <c r="C24" s="3">
        <v>2076</v>
      </c>
      <c r="D24" s="3">
        <v>1628</v>
      </c>
      <c r="E24" s="3">
        <v>2128</v>
      </c>
      <c r="F24" s="3">
        <v>2223</v>
      </c>
    </row>
    <row r="25" spans="2:6" x14ac:dyDescent="0.2">
      <c r="B25" t="s">
        <v>61</v>
      </c>
      <c r="C25" s="3">
        <v>2345</v>
      </c>
      <c r="D25" s="3">
        <v>2465</v>
      </c>
      <c r="E25" s="3">
        <v>2340</v>
      </c>
      <c r="F25" s="3">
        <v>2255</v>
      </c>
    </row>
    <row r="26" spans="2:6" x14ac:dyDescent="0.2">
      <c r="C26" s="4">
        <f>SUM(C17:C25)</f>
        <v>11821</v>
      </c>
      <c r="D26" s="4">
        <v>12515</v>
      </c>
      <c r="E26" s="4">
        <v>8823</v>
      </c>
      <c r="F26" s="4">
        <v>8806</v>
      </c>
    </row>
    <row r="27" spans="2:6" x14ac:dyDescent="0.2">
      <c r="B27" t="s">
        <v>62</v>
      </c>
      <c r="C27" s="3">
        <v>368</v>
      </c>
      <c r="D27" s="3">
        <v>210</v>
      </c>
      <c r="E27" s="3">
        <v>7783</v>
      </c>
      <c r="F27" s="3">
        <v>50</v>
      </c>
    </row>
    <row r="28" spans="2:6" x14ac:dyDescent="0.2">
      <c r="C28" s="4">
        <f>SUM(C26:C27)</f>
        <v>12189</v>
      </c>
      <c r="D28" s="4">
        <v>12725</v>
      </c>
      <c r="E28" s="4">
        <v>16606</v>
      </c>
      <c r="F28" s="4">
        <v>8856</v>
      </c>
    </row>
    <row r="29" spans="2:6" x14ac:dyDescent="0.2">
      <c r="B29" s="7" t="s">
        <v>63</v>
      </c>
      <c r="C29" s="3"/>
      <c r="D29" s="3"/>
      <c r="E29" s="3"/>
      <c r="F29" s="3"/>
    </row>
    <row r="30" spans="2:6" x14ac:dyDescent="0.2">
      <c r="B30" t="s">
        <v>64</v>
      </c>
      <c r="C30" s="3">
        <v>-9181</v>
      </c>
      <c r="D30" s="3">
        <v>-9818</v>
      </c>
      <c r="E30" s="3">
        <v>-10264</v>
      </c>
      <c r="F30" s="3">
        <v>-10364</v>
      </c>
    </row>
    <row r="31" spans="2:6" x14ac:dyDescent="0.2">
      <c r="B31" t="s">
        <v>65</v>
      </c>
      <c r="C31" s="3">
        <v>-725</v>
      </c>
      <c r="D31" s="3">
        <v>-1770</v>
      </c>
      <c r="E31" s="3">
        <v>-1536</v>
      </c>
      <c r="F31" s="3">
        <v>-1861</v>
      </c>
    </row>
    <row r="32" spans="2:6" x14ac:dyDescent="0.2">
      <c r="B32" t="s">
        <v>66</v>
      </c>
      <c r="C32" s="3">
        <v>-547</v>
      </c>
      <c r="D32" s="3">
        <v>-595</v>
      </c>
      <c r="E32" s="3">
        <v>-584</v>
      </c>
      <c r="F32" s="3">
        <v>-618</v>
      </c>
    </row>
    <row r="33" spans="2:6" x14ac:dyDescent="0.2">
      <c r="B33" t="s">
        <v>67</v>
      </c>
      <c r="C33" s="3">
        <v>-623</v>
      </c>
      <c r="D33" s="3">
        <v>-570</v>
      </c>
      <c r="E33" s="3">
        <v>-526</v>
      </c>
      <c r="F33" s="3">
        <v>-652</v>
      </c>
    </row>
    <row r="34" spans="2:6" x14ac:dyDescent="0.2">
      <c r="B34" t="s">
        <v>68</v>
      </c>
      <c r="C34" s="3">
        <v>-4729</v>
      </c>
      <c r="D34" s="3">
        <v>-4485</v>
      </c>
      <c r="E34" s="3">
        <v>-108</v>
      </c>
      <c r="F34" s="3" t="s">
        <v>84</v>
      </c>
    </row>
    <row r="35" spans="2:6" x14ac:dyDescent="0.2">
      <c r="B35" t="s">
        <v>52</v>
      </c>
      <c r="C35" s="3">
        <v>-26</v>
      </c>
      <c r="D35" s="3">
        <v>-99</v>
      </c>
      <c r="E35" s="3">
        <v>-25</v>
      </c>
      <c r="F35" s="3">
        <v>-12</v>
      </c>
    </row>
    <row r="36" spans="2:6" x14ac:dyDescent="0.2">
      <c r="B36" t="s">
        <v>69</v>
      </c>
      <c r="C36" s="3">
        <v>-11</v>
      </c>
      <c r="D36" s="3">
        <v>-18</v>
      </c>
      <c r="E36" s="3">
        <v>-1</v>
      </c>
      <c r="F36" s="3">
        <v>-13</v>
      </c>
    </row>
    <row r="37" spans="2:6" x14ac:dyDescent="0.2">
      <c r="B37" t="s">
        <v>70</v>
      </c>
      <c r="C37" s="3">
        <v>-283</v>
      </c>
      <c r="D37" s="3">
        <v>-366</v>
      </c>
      <c r="E37" s="3">
        <v>-306</v>
      </c>
      <c r="F37" s="3">
        <v>-300</v>
      </c>
    </row>
    <row r="38" spans="2:6" x14ac:dyDescent="0.2">
      <c r="C38" s="4">
        <v>-16125</v>
      </c>
      <c r="D38" s="4">
        <v>-17721</v>
      </c>
      <c r="E38" s="4">
        <v>-13350</v>
      </c>
      <c r="F38" s="4">
        <v>-13820</v>
      </c>
    </row>
    <row r="39" spans="2:6" x14ac:dyDescent="0.2">
      <c r="B39" t="s">
        <v>79</v>
      </c>
      <c r="C39" s="3">
        <v>-14</v>
      </c>
      <c r="D39" s="5">
        <v>-14</v>
      </c>
      <c r="E39" s="3">
        <v>-7122</v>
      </c>
      <c r="F39" s="3" t="s">
        <v>84</v>
      </c>
    </row>
    <row r="40" spans="2:6" x14ac:dyDescent="0.2">
      <c r="B40" s="7" t="s">
        <v>80</v>
      </c>
      <c r="C40" s="4">
        <v>-3950</v>
      </c>
      <c r="D40" s="4">
        <v>-5010</v>
      </c>
      <c r="E40" s="4">
        <v>-3866</v>
      </c>
      <c r="F40" s="4">
        <v>-4964</v>
      </c>
    </row>
    <row r="41" spans="2:6" x14ac:dyDescent="0.2">
      <c r="B41" s="7" t="s">
        <v>81</v>
      </c>
      <c r="C41" s="3"/>
      <c r="D41" s="4"/>
      <c r="E41" s="3"/>
      <c r="F41" s="3"/>
    </row>
    <row r="42" spans="2:6" x14ac:dyDescent="0.2">
      <c r="B42" t="s">
        <v>64</v>
      </c>
      <c r="C42" s="3">
        <v>-53</v>
      </c>
      <c r="D42" s="5">
        <v>-153</v>
      </c>
      <c r="E42" s="3">
        <v>-39</v>
      </c>
      <c r="F42" s="3">
        <v>-40</v>
      </c>
    </row>
    <row r="43" spans="2:6" x14ac:dyDescent="0.2">
      <c r="B43" t="s">
        <v>65</v>
      </c>
      <c r="C43" s="3">
        <v>-6674</v>
      </c>
      <c r="D43" s="5">
        <v>-5581</v>
      </c>
      <c r="E43" s="3">
        <v>-5683</v>
      </c>
      <c r="F43" s="3">
        <v>-5089</v>
      </c>
    </row>
    <row r="44" spans="2:6" x14ac:dyDescent="0.2">
      <c r="B44" t="s">
        <v>66</v>
      </c>
      <c r="C44" s="3">
        <v>-7411</v>
      </c>
      <c r="D44" s="5">
        <v>-71332</v>
      </c>
      <c r="E44" s="3">
        <v>-7038</v>
      </c>
      <c r="F44" s="3">
        <v>-7098</v>
      </c>
    </row>
    <row r="45" spans="2:6" x14ac:dyDescent="0.2">
      <c r="B45" t="s">
        <v>67</v>
      </c>
      <c r="C45" s="3">
        <v>-27</v>
      </c>
      <c r="D45" s="5">
        <v>-35</v>
      </c>
      <c r="E45" s="3" t="s">
        <v>84</v>
      </c>
      <c r="F45" s="3" t="s">
        <v>84</v>
      </c>
    </row>
    <row r="46" spans="2:6" x14ac:dyDescent="0.2">
      <c r="B46" t="s">
        <v>68</v>
      </c>
      <c r="C46" s="3">
        <v>-1650</v>
      </c>
      <c r="D46" s="5">
        <v>-2265</v>
      </c>
      <c r="E46" s="3">
        <v>-800</v>
      </c>
      <c r="F46" s="3" t="s">
        <v>84</v>
      </c>
    </row>
    <row r="47" spans="2:6" x14ac:dyDescent="0.2">
      <c r="B47" t="s">
        <v>52</v>
      </c>
      <c r="C47" s="3">
        <v>-357</v>
      </c>
      <c r="D47" s="5">
        <v>-288</v>
      </c>
      <c r="E47" s="3">
        <v>-241</v>
      </c>
      <c r="F47" s="3">
        <v>-205</v>
      </c>
    </row>
    <row r="48" spans="2:6" x14ac:dyDescent="0.2">
      <c r="B48" t="s">
        <v>82</v>
      </c>
      <c r="C48" s="3">
        <v>-303</v>
      </c>
      <c r="D48" s="5">
        <v>-400</v>
      </c>
      <c r="E48" s="3">
        <v>-657</v>
      </c>
      <c r="F48" s="3">
        <v>-307</v>
      </c>
    </row>
    <row r="49" spans="2:6" x14ac:dyDescent="0.2">
      <c r="B49" t="s">
        <v>83</v>
      </c>
      <c r="C49" s="3">
        <v>-910</v>
      </c>
      <c r="D49" s="5">
        <v>-119</v>
      </c>
      <c r="E49" s="3">
        <v>-269</v>
      </c>
      <c r="F49" s="3">
        <v>-503</v>
      </c>
    </row>
    <row r="50" spans="2:6" x14ac:dyDescent="0.2">
      <c r="B50" t="s">
        <v>70</v>
      </c>
      <c r="C50" s="3">
        <v>-183</v>
      </c>
      <c r="D50" s="5">
        <v>-194</v>
      </c>
      <c r="E50" s="3">
        <v>-175</v>
      </c>
      <c r="F50" s="3">
        <v>-166</v>
      </c>
    </row>
    <row r="51" spans="2:6" x14ac:dyDescent="0.2">
      <c r="C51" s="4">
        <v>-17568</v>
      </c>
      <c r="D51" s="4">
        <v>-16167</v>
      </c>
      <c r="E51" s="4">
        <v>-14902</v>
      </c>
      <c r="F51" s="4">
        <v>-13408</v>
      </c>
    </row>
    <row r="52" spans="2:6" x14ac:dyDescent="0.2">
      <c r="B52" s="7" t="s">
        <v>71</v>
      </c>
      <c r="C52" s="3">
        <v>15644</v>
      </c>
      <c r="D52" s="4">
        <v>12230</v>
      </c>
      <c r="E52" s="4">
        <v>11665</v>
      </c>
      <c r="F52" s="4">
        <v>11662</v>
      </c>
    </row>
    <row r="53" spans="2:6" x14ac:dyDescent="0.2">
      <c r="B53" s="7" t="s">
        <v>72</v>
      </c>
      <c r="C53" s="3"/>
      <c r="D53" s="4"/>
      <c r="E53" s="3"/>
      <c r="F53" s="3"/>
    </row>
    <row r="54" spans="2:6" x14ac:dyDescent="0.2">
      <c r="B54" t="s">
        <v>73</v>
      </c>
      <c r="C54" s="3">
        <v>484</v>
      </c>
      <c r="D54" s="5">
        <v>463</v>
      </c>
      <c r="E54" s="3">
        <v>445</v>
      </c>
      <c r="F54" s="3">
        <v>426</v>
      </c>
    </row>
    <row r="55" spans="2:6" x14ac:dyDescent="0.2">
      <c r="B55" t="s">
        <v>74</v>
      </c>
      <c r="C55" s="3">
        <v>5165</v>
      </c>
      <c r="D55" s="5">
        <v>5165</v>
      </c>
      <c r="E55" s="3">
        <v>5165</v>
      </c>
      <c r="F55" s="3">
        <v>5165</v>
      </c>
    </row>
    <row r="56" spans="2:6" x14ac:dyDescent="0.2">
      <c r="B56" t="s">
        <v>75</v>
      </c>
      <c r="C56" s="3">
        <v>3079</v>
      </c>
      <c r="D56" s="5">
        <v>3123</v>
      </c>
      <c r="E56" s="3">
        <v>3131</v>
      </c>
      <c r="F56" s="3">
        <v>3140</v>
      </c>
    </row>
    <row r="57" spans="2:6" x14ac:dyDescent="0.2">
      <c r="B57" t="s">
        <v>76</v>
      </c>
      <c r="C57" s="3">
        <v>6932</v>
      </c>
      <c r="D57" s="5">
        <v>3490</v>
      </c>
      <c r="E57" s="3">
        <v>2930</v>
      </c>
      <c r="F57" s="3">
        <v>2935</v>
      </c>
    </row>
    <row r="58" spans="2:6" x14ac:dyDescent="0.2">
      <c r="B58" s="7" t="s">
        <v>77</v>
      </c>
      <c r="C58" s="4">
        <v>15660</v>
      </c>
      <c r="D58" s="4">
        <v>12241</v>
      </c>
      <c r="E58" s="4">
        <v>11671</v>
      </c>
      <c r="F58" s="4">
        <v>11666</v>
      </c>
    </row>
    <row r="59" spans="2:6" x14ac:dyDescent="0.2">
      <c r="B59" t="s">
        <v>22</v>
      </c>
      <c r="C59" s="3">
        <v>-16</v>
      </c>
      <c r="D59" s="5">
        <v>-11</v>
      </c>
      <c r="E59" s="3">
        <v>-6</v>
      </c>
      <c r="F59" s="3">
        <v>-4</v>
      </c>
    </row>
    <row r="60" spans="2:6" x14ac:dyDescent="0.2">
      <c r="B60" s="7" t="s">
        <v>78</v>
      </c>
      <c r="C60" s="4">
        <v>15644</v>
      </c>
      <c r="D60" s="4">
        <v>12230</v>
      </c>
      <c r="E60" s="4">
        <v>11665</v>
      </c>
      <c r="F60" s="4">
        <v>11662</v>
      </c>
    </row>
    <row r="61" spans="2:6" x14ac:dyDescent="0.2">
      <c r="C61" s="3"/>
      <c r="D61" s="3"/>
      <c r="E61" s="3"/>
      <c r="F61" s="3"/>
    </row>
    <row r="62" spans="2:6" x14ac:dyDescent="0.2">
      <c r="C62" s="2"/>
      <c r="D62" s="2"/>
      <c r="E62" s="2"/>
      <c r="F62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37AF3-AC1C-F14C-82A0-0EC285579AF5}">
  <dimension ref="A1:E65"/>
  <sheetViews>
    <sheetView zoomScaleNormal="70" workbookViewId="0">
      <selection activeCell="F33" sqref="F33"/>
    </sheetView>
  </sheetViews>
  <sheetFormatPr baseColWidth="10" defaultRowHeight="16" x14ac:dyDescent="0.2"/>
  <cols>
    <col min="1" max="1" width="13.33203125" customWidth="1"/>
    <col min="2" max="2" width="79.5" style="9" customWidth="1"/>
  </cols>
  <sheetData>
    <row r="1" spans="1:5" x14ac:dyDescent="0.2">
      <c r="A1" t="s">
        <v>85</v>
      </c>
      <c r="C1" s="6">
        <v>44958</v>
      </c>
      <c r="D1" s="6">
        <v>45323</v>
      </c>
      <c r="E1" s="6">
        <v>45689</v>
      </c>
    </row>
    <row r="2" spans="1:5" ht="34" x14ac:dyDescent="0.2">
      <c r="B2" s="10" t="s">
        <v>86</v>
      </c>
      <c r="C2" s="3"/>
      <c r="D2" s="3"/>
      <c r="E2" s="3"/>
    </row>
    <row r="3" spans="1:5" ht="17" x14ac:dyDescent="0.2">
      <c r="B3" s="10" t="s">
        <v>87</v>
      </c>
      <c r="C3" s="4">
        <v>1525</v>
      </c>
      <c r="D3" s="4">
        <v>2821</v>
      </c>
      <c r="E3" s="4">
        <v>2711</v>
      </c>
    </row>
    <row r="4" spans="1:5" ht="17" x14ac:dyDescent="0.2">
      <c r="B4" s="10" t="s">
        <v>88</v>
      </c>
      <c r="C4" s="4">
        <v>-9</v>
      </c>
      <c r="D4" s="4">
        <v>-659</v>
      </c>
      <c r="E4" s="4">
        <v>35</v>
      </c>
    </row>
    <row r="5" spans="1:5" ht="17" x14ac:dyDescent="0.2">
      <c r="B5" s="11" t="s">
        <v>89</v>
      </c>
      <c r="C5" s="3">
        <v>1700</v>
      </c>
      <c r="D5" s="3">
        <v>1723</v>
      </c>
      <c r="E5" s="5">
        <v>1775</v>
      </c>
    </row>
    <row r="6" spans="1:5" ht="68" x14ac:dyDescent="0.2">
      <c r="B6" s="11" t="s">
        <v>90</v>
      </c>
      <c r="C6" s="3">
        <v>-76</v>
      </c>
      <c r="D6" s="3">
        <v>-53</v>
      </c>
      <c r="E6" s="3">
        <v>1</v>
      </c>
    </row>
    <row r="7" spans="1:5" ht="17" x14ac:dyDescent="0.2">
      <c r="B7" s="11" t="s">
        <v>91</v>
      </c>
      <c r="C7" s="3">
        <v>3</v>
      </c>
      <c r="D7" s="3" t="s">
        <v>84</v>
      </c>
      <c r="E7" s="3" t="s">
        <v>84</v>
      </c>
    </row>
    <row r="8" spans="1:5" ht="34" x14ac:dyDescent="0.2">
      <c r="B8" s="11" t="s">
        <v>92</v>
      </c>
      <c r="C8" s="3" t="s">
        <v>84</v>
      </c>
      <c r="D8" s="3">
        <v>-9</v>
      </c>
      <c r="E8" s="3" t="s">
        <v>84</v>
      </c>
    </row>
    <row r="9" spans="1:5" ht="17" x14ac:dyDescent="0.2">
      <c r="B9" s="11" t="s">
        <v>93</v>
      </c>
      <c r="C9" s="3" t="s">
        <v>84</v>
      </c>
      <c r="D9" s="3">
        <v>-12</v>
      </c>
      <c r="E9" s="3" t="s">
        <v>84</v>
      </c>
    </row>
    <row r="10" spans="1:5" ht="51" x14ac:dyDescent="0.2">
      <c r="B10" s="11" t="s">
        <v>94</v>
      </c>
      <c r="C10" s="3">
        <v>982</v>
      </c>
      <c r="D10" s="3">
        <v>-28</v>
      </c>
      <c r="E10" s="3">
        <v>298</v>
      </c>
    </row>
    <row r="11" spans="1:5" ht="17" x14ac:dyDescent="0.2">
      <c r="B11" s="11" t="s">
        <v>144</v>
      </c>
      <c r="C11" s="3" t="s">
        <v>84</v>
      </c>
      <c r="D11" s="3" t="s">
        <v>84</v>
      </c>
      <c r="E11" s="3">
        <v>10</v>
      </c>
    </row>
    <row r="12" spans="1:5" ht="34" x14ac:dyDescent="0.2">
      <c r="B12" s="11" t="s">
        <v>95</v>
      </c>
      <c r="C12" s="3">
        <v>23</v>
      </c>
      <c r="D12" s="3">
        <v>720</v>
      </c>
      <c r="E12" s="3">
        <v>64</v>
      </c>
    </row>
    <row r="13" spans="1:5" ht="17" x14ac:dyDescent="0.2">
      <c r="B13" s="11" t="s">
        <v>96</v>
      </c>
      <c r="C13" s="3" t="s">
        <v>84</v>
      </c>
      <c r="D13" s="3" t="s">
        <v>84</v>
      </c>
      <c r="E13" s="3" t="s">
        <v>84</v>
      </c>
    </row>
    <row r="14" spans="1:5" ht="17" x14ac:dyDescent="0.2">
      <c r="B14" s="11" t="s">
        <v>97</v>
      </c>
      <c r="C14" s="3">
        <v>-23</v>
      </c>
      <c r="D14" s="3">
        <v>-29</v>
      </c>
      <c r="E14" s="3">
        <v>-30</v>
      </c>
    </row>
    <row r="15" spans="1:5" ht="17" x14ac:dyDescent="0.2">
      <c r="B15" s="11" t="s">
        <v>98</v>
      </c>
      <c r="C15" s="3">
        <v>59</v>
      </c>
      <c r="D15" s="3">
        <v>78</v>
      </c>
      <c r="E15" s="3">
        <v>37</v>
      </c>
    </row>
    <row r="16" spans="1:5" ht="17" x14ac:dyDescent="0.2">
      <c r="B16" s="11" t="s">
        <v>108</v>
      </c>
      <c r="C16" s="3">
        <v>70</v>
      </c>
      <c r="D16" s="3">
        <v>71</v>
      </c>
      <c r="E16" s="3">
        <v>9</v>
      </c>
    </row>
    <row r="17" spans="2:5" ht="17" x14ac:dyDescent="0.2">
      <c r="B17" s="12" t="s">
        <v>99</v>
      </c>
      <c r="C17" s="3">
        <v>-147</v>
      </c>
      <c r="D17" s="3">
        <v>-150</v>
      </c>
      <c r="E17" s="3">
        <v>141</v>
      </c>
    </row>
    <row r="18" spans="2:5" ht="17" x14ac:dyDescent="0.2">
      <c r="B18" s="12" t="s">
        <v>100</v>
      </c>
      <c r="C18" s="3">
        <v>-54</v>
      </c>
      <c r="D18" s="3">
        <v>-118</v>
      </c>
      <c r="E18" s="3">
        <v>-5</v>
      </c>
    </row>
    <row r="19" spans="2:5" ht="17" x14ac:dyDescent="0.2">
      <c r="B19" s="12" t="s">
        <v>101</v>
      </c>
      <c r="C19" s="3">
        <v>643</v>
      </c>
      <c r="D19" s="3">
        <v>714</v>
      </c>
      <c r="E19" s="3">
        <v>158</v>
      </c>
    </row>
    <row r="20" spans="2:5" ht="17" x14ac:dyDescent="0.2">
      <c r="B20" s="12" t="s">
        <v>102</v>
      </c>
      <c r="C20" s="3">
        <v>75</v>
      </c>
      <c r="D20" s="3">
        <v>-72</v>
      </c>
      <c r="E20" s="3">
        <v>-10</v>
      </c>
    </row>
    <row r="21" spans="2:5" ht="17" x14ac:dyDescent="0.2">
      <c r="B21" s="11" t="s">
        <v>103</v>
      </c>
      <c r="C21" s="3">
        <v>517</v>
      </c>
      <c r="D21" s="3">
        <v>374</v>
      </c>
      <c r="E21" s="3"/>
    </row>
    <row r="22" spans="2:5" ht="17" x14ac:dyDescent="0.2">
      <c r="B22" s="12" t="s">
        <v>104</v>
      </c>
      <c r="C22" s="3">
        <v>-696</v>
      </c>
      <c r="D22" s="3">
        <v>-714</v>
      </c>
      <c r="E22" s="3"/>
    </row>
    <row r="23" spans="2:5" ht="17" x14ac:dyDescent="0.2">
      <c r="B23" s="12" t="s">
        <v>105</v>
      </c>
      <c r="C23" s="3">
        <v>-60</v>
      </c>
      <c r="D23" s="3">
        <v>-9</v>
      </c>
      <c r="E23" s="3"/>
    </row>
    <row r="24" spans="2:5" ht="34" x14ac:dyDescent="0.2">
      <c r="B24" s="12" t="s">
        <v>106</v>
      </c>
      <c r="C24" s="3">
        <v>369</v>
      </c>
      <c r="D24" s="3">
        <v>584</v>
      </c>
      <c r="E24" s="3"/>
    </row>
    <row r="25" spans="2:5" ht="17" x14ac:dyDescent="0.2">
      <c r="B25" s="12" t="s">
        <v>107</v>
      </c>
      <c r="C25" s="3">
        <v>-7</v>
      </c>
      <c r="D25" s="3">
        <v>28</v>
      </c>
      <c r="E25" s="3"/>
    </row>
    <row r="26" spans="2:5" ht="17" x14ac:dyDescent="0.2">
      <c r="B26" s="11" t="s">
        <v>109</v>
      </c>
      <c r="C26" s="3">
        <v>-274</v>
      </c>
      <c r="D26" s="3">
        <v>-111</v>
      </c>
      <c r="E26" s="3"/>
    </row>
    <row r="27" spans="2:5" ht="17" x14ac:dyDescent="0.2">
      <c r="B27" s="10" t="s">
        <v>110</v>
      </c>
      <c r="C27" s="4">
        <v>4497</v>
      </c>
      <c r="D27" s="4">
        <v>4886</v>
      </c>
      <c r="E27" s="4">
        <v>4057</v>
      </c>
    </row>
    <row r="28" spans="2:5" ht="17" x14ac:dyDescent="0.2">
      <c r="B28" s="9" t="s">
        <v>111</v>
      </c>
      <c r="C28" s="3">
        <v>-652</v>
      </c>
      <c r="D28" s="3">
        <v>-824</v>
      </c>
      <c r="E28" s="3">
        <v>-769</v>
      </c>
    </row>
    <row r="29" spans="2:5" ht="17" x14ac:dyDescent="0.2">
      <c r="B29" s="11" t="s">
        <v>112</v>
      </c>
      <c r="C29" s="3">
        <v>-123</v>
      </c>
      <c r="D29" s="3">
        <v>-223</v>
      </c>
      <c r="E29" s="3">
        <v>-366</v>
      </c>
    </row>
    <row r="30" spans="2:5" ht="17" x14ac:dyDescent="0.2">
      <c r="B30" s="10" t="s">
        <v>113</v>
      </c>
      <c r="C30" s="4">
        <v>3722</v>
      </c>
      <c r="D30" s="4">
        <v>3839</v>
      </c>
      <c r="E30" s="4">
        <v>2922</v>
      </c>
    </row>
    <row r="31" spans="2:5" ht="17" x14ac:dyDescent="0.2">
      <c r="B31" s="10" t="s">
        <v>114</v>
      </c>
      <c r="C31" s="3"/>
      <c r="D31" s="3"/>
      <c r="E31" s="3"/>
    </row>
    <row r="32" spans="2:5" ht="34" x14ac:dyDescent="0.2">
      <c r="B32" s="11" t="s">
        <v>115</v>
      </c>
      <c r="C32" s="3">
        <v>342</v>
      </c>
      <c r="D32" s="3">
        <v>55</v>
      </c>
      <c r="E32" s="3">
        <v>137</v>
      </c>
    </row>
    <row r="33" spans="2:5" ht="17" x14ac:dyDescent="0.2">
      <c r="B33" s="11" t="s">
        <v>116</v>
      </c>
      <c r="C33" s="3">
        <v>-971</v>
      </c>
      <c r="D33" s="3">
        <v>-1108</v>
      </c>
      <c r="E33" s="3">
        <v>-1247</v>
      </c>
    </row>
    <row r="34" spans="2:5" ht="17" x14ac:dyDescent="0.2">
      <c r="B34" s="11" t="s">
        <v>117</v>
      </c>
      <c r="C34" s="3">
        <v>-279</v>
      </c>
      <c r="D34" s="3">
        <v>-278</v>
      </c>
      <c r="E34" s="3">
        <v>-292</v>
      </c>
    </row>
    <row r="35" spans="2:5" ht="17" x14ac:dyDescent="0.2">
      <c r="B35" s="11" t="s">
        <v>118</v>
      </c>
      <c r="C35" s="3" t="s">
        <v>84</v>
      </c>
      <c r="D35" s="3">
        <v>15</v>
      </c>
      <c r="E35" s="3" t="s">
        <v>84</v>
      </c>
    </row>
    <row r="36" spans="2:5" ht="17" x14ac:dyDescent="0.2">
      <c r="B36" s="11" t="s">
        <v>145</v>
      </c>
      <c r="C36" s="3" t="s">
        <v>84</v>
      </c>
      <c r="D36" s="3" t="s">
        <v>84</v>
      </c>
      <c r="E36" s="3">
        <v>157</v>
      </c>
    </row>
    <row r="37" spans="2:5" ht="17" x14ac:dyDescent="0.2">
      <c r="B37" s="11" t="s">
        <v>119</v>
      </c>
      <c r="C37" s="3">
        <v>-71</v>
      </c>
      <c r="D37" s="3">
        <v>-17</v>
      </c>
      <c r="E37" s="3">
        <v>-46</v>
      </c>
    </row>
    <row r="38" spans="2:5" ht="17" x14ac:dyDescent="0.2">
      <c r="B38" s="11" t="s">
        <v>120</v>
      </c>
      <c r="C38" s="3" t="s">
        <v>84</v>
      </c>
      <c r="D38" s="3">
        <v>9</v>
      </c>
      <c r="E38" s="3" t="s">
        <v>84</v>
      </c>
    </row>
    <row r="39" spans="2:5" ht="17" x14ac:dyDescent="0.2">
      <c r="B39" s="11" t="s">
        <v>121</v>
      </c>
      <c r="C39" s="3">
        <v>-1</v>
      </c>
      <c r="D39" s="3">
        <v>-61</v>
      </c>
      <c r="E39" s="3">
        <v>-1</v>
      </c>
    </row>
    <row r="40" spans="2:5" ht="17" x14ac:dyDescent="0.2">
      <c r="B40" s="11" t="s">
        <v>122</v>
      </c>
      <c r="C40" s="3">
        <v>-10</v>
      </c>
      <c r="D40" s="3">
        <v>-9</v>
      </c>
      <c r="E40" s="3">
        <v>-15</v>
      </c>
    </row>
    <row r="41" spans="2:5" ht="17" x14ac:dyDescent="0.2">
      <c r="B41" s="11" t="s">
        <v>123</v>
      </c>
      <c r="C41" s="3">
        <v>451</v>
      </c>
      <c r="D41" s="3">
        <v>-507</v>
      </c>
      <c r="E41" s="3"/>
    </row>
    <row r="42" spans="2:5" ht="17" x14ac:dyDescent="0.2">
      <c r="B42" s="11" t="s">
        <v>124</v>
      </c>
      <c r="C42" s="3">
        <v>230</v>
      </c>
      <c r="D42" s="3">
        <v>352</v>
      </c>
      <c r="E42" s="3">
        <v>966</v>
      </c>
    </row>
    <row r="43" spans="2:5" ht="17" x14ac:dyDescent="0.2">
      <c r="B43" s="11" t="s">
        <v>125</v>
      </c>
      <c r="C43" s="3">
        <v>-529</v>
      </c>
      <c r="D43" s="3">
        <v>-390</v>
      </c>
      <c r="E43" s="3">
        <v>-290</v>
      </c>
    </row>
    <row r="44" spans="2:5" ht="17" x14ac:dyDescent="0.2">
      <c r="B44" s="11" t="s">
        <v>126</v>
      </c>
      <c r="C44" s="3">
        <v>14</v>
      </c>
      <c r="D44" s="3">
        <v>9</v>
      </c>
      <c r="E44" s="3">
        <v>2</v>
      </c>
    </row>
    <row r="45" spans="2:5" ht="17" x14ac:dyDescent="0.2">
      <c r="B45" s="11" t="s">
        <v>127</v>
      </c>
      <c r="C45" s="3">
        <v>70</v>
      </c>
      <c r="D45" s="3">
        <v>249</v>
      </c>
      <c r="E45" s="3">
        <v>255</v>
      </c>
    </row>
    <row r="46" spans="2:5" ht="17" x14ac:dyDescent="0.2">
      <c r="B46" s="11" t="s">
        <v>128</v>
      </c>
      <c r="C46" s="3">
        <v>54</v>
      </c>
      <c r="D46" s="3">
        <v>5</v>
      </c>
      <c r="E46" s="3">
        <v>29</v>
      </c>
    </row>
    <row r="47" spans="2:5" ht="17" x14ac:dyDescent="0.2">
      <c r="B47" s="11" t="s">
        <v>129</v>
      </c>
      <c r="C47" s="3">
        <v>-6</v>
      </c>
      <c r="D47" s="3">
        <v>-24</v>
      </c>
      <c r="E47" s="3">
        <v>-1</v>
      </c>
    </row>
    <row r="48" spans="2:5" ht="17" x14ac:dyDescent="0.2">
      <c r="B48" s="10" t="s">
        <v>130</v>
      </c>
      <c r="C48" s="4">
        <v>-706</v>
      </c>
      <c r="D48" s="4">
        <v>-1700</v>
      </c>
      <c r="E48" s="4">
        <v>-441</v>
      </c>
    </row>
    <row r="49" spans="2:5" ht="17" x14ac:dyDescent="0.2">
      <c r="B49" s="10" t="s">
        <v>114</v>
      </c>
      <c r="C49" s="3"/>
      <c r="D49" s="3"/>
      <c r="E49" s="3"/>
    </row>
    <row r="50" spans="2:5" ht="17" x14ac:dyDescent="0.2">
      <c r="B50" s="11" t="s">
        <v>131</v>
      </c>
      <c r="C50" s="3">
        <v>-781</v>
      </c>
      <c r="D50" s="3">
        <v>-752</v>
      </c>
      <c r="E50" s="3">
        <v>-1016</v>
      </c>
    </row>
    <row r="51" spans="2:5" ht="17" x14ac:dyDescent="0.2">
      <c r="B51" s="11" t="s">
        <v>132</v>
      </c>
      <c r="C51" s="3">
        <v>-86</v>
      </c>
      <c r="D51" s="3">
        <v>-93</v>
      </c>
      <c r="E51" s="3">
        <v>-54</v>
      </c>
    </row>
    <row r="52" spans="2:5" ht="17" x14ac:dyDescent="0.2">
      <c r="B52" s="11" t="s">
        <v>133</v>
      </c>
      <c r="C52" s="3">
        <v>-593</v>
      </c>
      <c r="D52" s="3">
        <v>-627</v>
      </c>
      <c r="E52" s="3">
        <v>-602</v>
      </c>
    </row>
    <row r="53" spans="2:5" ht="17" x14ac:dyDescent="0.2">
      <c r="B53" s="11" t="s">
        <v>134</v>
      </c>
      <c r="C53" s="3">
        <v>-21</v>
      </c>
      <c r="D53" s="3">
        <v>-62</v>
      </c>
      <c r="E53" s="3">
        <v>-92</v>
      </c>
    </row>
    <row r="54" spans="2:5" ht="17" x14ac:dyDescent="0.2">
      <c r="B54" s="11" t="s">
        <v>135</v>
      </c>
      <c r="C54" s="3" t="s">
        <v>84</v>
      </c>
      <c r="D54" s="3">
        <v>1232</v>
      </c>
      <c r="E54" s="3">
        <v>462</v>
      </c>
    </row>
    <row r="55" spans="2:5" ht="17" x14ac:dyDescent="0.2">
      <c r="B55" s="11" t="s">
        <v>136</v>
      </c>
      <c r="C55" s="3">
        <v>-709</v>
      </c>
      <c r="D55" s="3">
        <v>-775</v>
      </c>
      <c r="E55" s="3">
        <v>-809</v>
      </c>
    </row>
    <row r="56" spans="2:5" ht="17" x14ac:dyDescent="0.2">
      <c r="B56" s="11" t="s">
        <v>128</v>
      </c>
      <c r="C56" s="3">
        <v>232</v>
      </c>
      <c r="D56" s="3">
        <v>98</v>
      </c>
      <c r="E56" s="3">
        <v>485</v>
      </c>
    </row>
    <row r="57" spans="2:5" ht="17" x14ac:dyDescent="0.2">
      <c r="B57" s="11" t="s">
        <v>129</v>
      </c>
      <c r="C57" s="3">
        <v>-371</v>
      </c>
      <c r="D57" s="3">
        <v>-102</v>
      </c>
      <c r="E57" s="3">
        <v>-453</v>
      </c>
    </row>
    <row r="58" spans="2:5" ht="17" x14ac:dyDescent="0.2">
      <c r="B58" s="11" t="s">
        <v>137</v>
      </c>
      <c r="C58" s="3">
        <v>-859</v>
      </c>
      <c r="D58" s="3">
        <v>-778</v>
      </c>
      <c r="E58" s="3">
        <v>-864</v>
      </c>
    </row>
    <row r="59" spans="2:5" ht="17" x14ac:dyDescent="0.2">
      <c r="B59" s="10" t="s">
        <v>138</v>
      </c>
      <c r="C59" s="4">
        <v>-3188</v>
      </c>
      <c r="D59" s="4">
        <v>-1859</v>
      </c>
      <c r="E59" s="4">
        <v>-2943</v>
      </c>
    </row>
    <row r="60" spans="2:5" ht="17" x14ac:dyDescent="0.2">
      <c r="B60" s="10" t="s">
        <v>139</v>
      </c>
      <c r="C60" s="4">
        <v>-172</v>
      </c>
      <c r="D60" s="4">
        <v>280</v>
      </c>
      <c r="E60" s="4">
        <v>-462</v>
      </c>
    </row>
    <row r="61" spans="2:5" ht="17" x14ac:dyDescent="0.2">
      <c r="B61" s="11" t="s">
        <v>140</v>
      </c>
      <c r="C61" s="3">
        <v>1771</v>
      </c>
      <c r="D61" s="3">
        <v>1565</v>
      </c>
      <c r="E61" s="3">
        <v>1874</v>
      </c>
    </row>
    <row r="62" spans="2:5" ht="17" x14ac:dyDescent="0.2">
      <c r="B62" s="11" t="s">
        <v>141</v>
      </c>
      <c r="C62" s="3">
        <v>-34</v>
      </c>
      <c r="D62" s="3">
        <v>29</v>
      </c>
      <c r="E62" s="3">
        <v>-13</v>
      </c>
    </row>
    <row r="63" spans="2:5" ht="17" x14ac:dyDescent="0.2">
      <c r="B63" s="10" t="s">
        <v>142</v>
      </c>
      <c r="C63" s="4">
        <v>1565</v>
      </c>
      <c r="D63" s="4">
        <v>1874</v>
      </c>
      <c r="E63" s="4">
        <v>1399</v>
      </c>
    </row>
    <row r="64" spans="2:5" ht="17" x14ac:dyDescent="0.2">
      <c r="B64" s="9" t="s">
        <v>143</v>
      </c>
      <c r="C64" t="s">
        <v>84</v>
      </c>
      <c r="D64" s="5">
        <v>-346</v>
      </c>
      <c r="E64" t="s">
        <v>84</v>
      </c>
    </row>
    <row r="65" spans="2:5" ht="17" x14ac:dyDescent="0.2">
      <c r="B65" s="10" t="s">
        <v>142</v>
      </c>
      <c r="C65" s="7">
        <v>1565</v>
      </c>
      <c r="D65" s="4">
        <v>1528</v>
      </c>
      <c r="E65" s="7">
        <v>1399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Free Cash Flow</vt:lpstr>
      <vt:lpstr>DCF</vt:lpstr>
      <vt:lpstr>WACC</vt:lpstr>
      <vt:lpstr>Capital Expenditures</vt:lpstr>
      <vt:lpstr>Net Working Capital</vt:lpstr>
      <vt:lpstr>Historical Data -&gt;</vt:lpstr>
      <vt:lpstr>Income Statements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 Khalid</dc:creator>
  <cp:lastModifiedBy>Usman Khalid</cp:lastModifiedBy>
  <dcterms:created xsi:type="dcterms:W3CDTF">2025-09-06T14:45:50Z</dcterms:created>
  <dcterms:modified xsi:type="dcterms:W3CDTF">2026-05-14T01:06:41Z</dcterms:modified>
</cp:coreProperties>
</file>